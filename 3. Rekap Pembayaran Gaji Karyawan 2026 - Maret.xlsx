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 Documents HRD\Manajemen\Karyawan\Wage &amp; Comp\2026\REKAP\MARET\"/>
    </mc:Choice>
  </mc:AlternateContent>
  <xr:revisionPtr revIDLastSave="0" documentId="13_ncr:1_{08F714F0-EB0A-444B-A607-E2B6DE5E1AC9}" xr6:coauthVersionLast="47" xr6:coauthVersionMax="47" xr10:uidLastSave="{00000000-0000-0000-0000-000000000000}"/>
  <bookViews>
    <workbookView xWindow="-110" yWindow="-110" windowWidth="19420" windowHeight="11500" tabRatio="589" xr2:uid="{00000000-000D-0000-FFFF-FFFF00000000}"/>
  </bookViews>
  <sheets>
    <sheet name="Rekap All 2026" sheetId="30" r:id="rId1"/>
    <sheet name="NPA" sheetId="28" r:id="rId2"/>
    <sheet name="NES" sheetId="29" r:id="rId3"/>
    <sheet name="2026-PKL NPA" sheetId="24" r:id="rId4"/>
    <sheet name="2026- Harian NES" sheetId="26" r:id="rId5"/>
    <sheet name="2026-Harian NPA" sheetId="27" r:id="rId6"/>
    <sheet name="2026-LPK MKS NPA" sheetId="25" r:id="rId7"/>
    <sheet name="2026-LPK MKM NPA" sheetId="23" r:id="rId8"/>
    <sheet name="2026-LPK DKP NPA " sheetId="22" r:id="rId9"/>
    <sheet name="2026-LPK CTPS NPA" sheetId="20" r:id="rId10"/>
    <sheet name="2026-LPK CDB NPA" sheetId="19" r:id="rId11"/>
    <sheet name="2026-OS CTPS NPA" sheetId="14" r:id="rId12"/>
    <sheet name="2026-OS CDB NPA" sheetId="15" r:id="rId13"/>
  </sheets>
  <definedNames>
    <definedName name="_xlnm._FilterDatabase" localSheetId="4" hidden="1">'2026- Harian NES'!#REF!</definedName>
    <definedName name="_xlnm._FilterDatabase" localSheetId="5" hidden="1">'2026-Harian NPA'!#REF!</definedName>
    <definedName name="_xlnm._FilterDatabase" localSheetId="10" hidden="1">'2026-LPK CDB NPA'!#REF!</definedName>
    <definedName name="_xlnm._FilterDatabase" localSheetId="9" hidden="1">'2026-LPK CTPS NPA'!#REF!</definedName>
    <definedName name="_xlnm._FilterDatabase" localSheetId="8" hidden="1">'2026-LPK DKP NPA '!#REF!</definedName>
    <definedName name="_xlnm._FilterDatabase" localSheetId="7" hidden="1">'2026-LPK MKM NPA'!$E$16:$E$17</definedName>
    <definedName name="_xlnm._FilterDatabase" localSheetId="6" hidden="1">'2026-LPK MKS NPA'!#REF!</definedName>
    <definedName name="_xlnm._FilterDatabase" localSheetId="12" hidden="1">'2026-OS CDB NPA'!#REF!</definedName>
    <definedName name="_xlnm._FilterDatabase" localSheetId="11" hidden="1">'2026-OS CTPS NPA'!#REF!</definedName>
    <definedName name="_xlnm._FilterDatabase" localSheetId="3" hidden="1">'2026-PKL NPA'!#REF!</definedName>
    <definedName name="_xlnm._FilterDatabase" localSheetId="2" hidden="1">NES!$B$5:$BB$22</definedName>
    <definedName name="_xlnm._FilterDatabase" localSheetId="1" hidden="1">NPA!$B$5:$BB$22</definedName>
    <definedName name="_xlnm._FilterDatabase" localSheetId="0" hidden="1">'Rekap All 2026'!$B$5:$BB$22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4" i="22" l="1"/>
  <c r="M17" i="24" l="1"/>
  <c r="M18" i="24"/>
  <c r="I17" i="23" l="1"/>
  <c r="I16" i="23"/>
  <c r="H7" i="30"/>
  <c r="I9" i="30"/>
  <c r="I10" i="30"/>
  <c r="H10" i="30"/>
  <c r="D10" i="30"/>
  <c r="I14" i="30"/>
  <c r="E14" i="30"/>
  <c r="E10" i="30"/>
  <c r="H24" i="22"/>
  <c r="H24" i="24" l="1"/>
  <c r="I17" i="24" l="1"/>
  <c r="H17" i="24"/>
  <c r="I18" i="24"/>
  <c r="H18" i="24"/>
  <c r="I14" i="22" l="1"/>
  <c r="E14" i="22" l="1"/>
  <c r="E12" i="15"/>
  <c r="E13" i="15"/>
  <c r="D24" i="15"/>
  <c r="E16" i="23" l="1"/>
  <c r="E17" i="23"/>
  <c r="E17" i="24" l="1"/>
  <c r="D17" i="24"/>
  <c r="AV10" i="30" l="1"/>
  <c r="BD7" i="19" l="1"/>
  <c r="AZ24" i="19"/>
  <c r="BA24" i="19"/>
  <c r="AV24" i="22" l="1"/>
  <c r="AR24" i="23" l="1"/>
  <c r="AR24" i="14" l="1"/>
  <c r="AS24" i="27" l="1"/>
  <c r="AR24" i="27"/>
  <c r="AN24" i="27"/>
  <c r="AS24" i="15" l="1"/>
  <c r="AR24" i="15"/>
  <c r="AS24" i="19" l="1"/>
  <c r="AR24" i="19"/>
  <c r="AO24" i="19"/>
  <c r="BC7" i="19" l="1"/>
  <c r="BC9" i="19"/>
  <c r="BC11" i="19"/>
  <c r="BC13" i="19"/>
  <c r="BC14" i="19"/>
  <c r="BC16" i="19"/>
  <c r="BC18" i="19"/>
  <c r="BC20" i="19"/>
  <c r="BC22" i="19"/>
  <c r="BC8" i="19"/>
  <c r="BC10" i="19"/>
  <c r="BC12" i="19"/>
  <c r="BC15" i="19"/>
  <c r="BC17" i="19"/>
  <c r="BC19" i="19"/>
  <c r="BC21" i="19"/>
  <c r="BC24" i="19" l="1"/>
  <c r="AV8" i="30"/>
  <c r="AW8" i="30"/>
  <c r="AV9" i="30"/>
  <c r="AW9" i="30"/>
  <c r="AW10" i="30"/>
  <c r="AV11" i="30"/>
  <c r="AW11" i="30"/>
  <c r="AV12" i="30"/>
  <c r="AW12" i="30"/>
  <c r="AV13" i="30"/>
  <c r="AW13" i="30"/>
  <c r="AV14" i="30"/>
  <c r="AW14" i="30"/>
  <c r="AV15" i="30"/>
  <c r="AW15" i="30"/>
  <c r="AV16" i="30"/>
  <c r="AW16" i="30"/>
  <c r="AV17" i="30"/>
  <c r="AW17" i="30"/>
  <c r="AV18" i="30"/>
  <c r="AW18" i="30"/>
  <c r="AV19" i="30"/>
  <c r="AW19" i="30"/>
  <c r="AV20" i="30"/>
  <c r="AW20" i="30"/>
  <c r="AV21" i="30"/>
  <c r="AW21" i="30"/>
  <c r="AV22" i="30"/>
  <c r="AW22" i="30"/>
  <c r="AW7" i="30"/>
  <c r="AV7" i="30"/>
  <c r="AR8" i="30"/>
  <c r="AS8" i="30"/>
  <c r="AR9" i="30"/>
  <c r="AS9" i="30"/>
  <c r="AR10" i="30"/>
  <c r="AS10" i="30"/>
  <c r="AR11" i="30"/>
  <c r="AS11" i="30"/>
  <c r="AR12" i="30"/>
  <c r="AS12" i="30"/>
  <c r="AR13" i="30"/>
  <c r="AS13" i="30"/>
  <c r="AR14" i="30"/>
  <c r="AS14" i="30"/>
  <c r="AR15" i="30"/>
  <c r="AS15" i="30"/>
  <c r="AR16" i="30"/>
  <c r="AS16" i="30"/>
  <c r="AR17" i="30"/>
  <c r="AS17" i="30"/>
  <c r="AR18" i="30"/>
  <c r="AS18" i="30"/>
  <c r="AR19" i="30"/>
  <c r="AS19" i="30"/>
  <c r="AR20" i="30"/>
  <c r="AS20" i="30"/>
  <c r="AR21" i="30"/>
  <c r="AS21" i="30"/>
  <c r="AR22" i="30"/>
  <c r="AS22" i="30"/>
  <c r="AS7" i="30"/>
  <c r="AR7" i="30"/>
  <c r="AO22" i="30" l="1"/>
  <c r="AN22" i="30"/>
  <c r="AO21" i="30"/>
  <c r="AN21" i="30"/>
  <c r="AO20" i="30"/>
  <c r="AN20" i="30"/>
  <c r="AO19" i="30"/>
  <c r="AN19" i="30"/>
  <c r="AO18" i="30"/>
  <c r="AN18" i="30"/>
  <c r="AO17" i="30"/>
  <c r="AN17" i="30"/>
  <c r="AO16" i="30"/>
  <c r="AN16" i="30"/>
  <c r="AO15" i="30"/>
  <c r="AN15" i="30"/>
  <c r="AO14" i="30"/>
  <c r="AN14" i="30"/>
  <c r="AO13" i="30"/>
  <c r="AN13" i="30"/>
  <c r="AO12" i="30"/>
  <c r="AN12" i="30"/>
  <c r="AO11" i="30"/>
  <c r="AN11" i="30"/>
  <c r="AO10" i="30"/>
  <c r="AN10" i="30"/>
  <c r="AO9" i="30"/>
  <c r="AN9" i="30"/>
  <c r="AO8" i="30"/>
  <c r="AN8" i="30"/>
  <c r="AO7" i="30"/>
  <c r="AN7" i="30"/>
  <c r="AK22" i="30"/>
  <c r="AJ22" i="30"/>
  <c r="AK21" i="30"/>
  <c r="AJ21" i="30"/>
  <c r="AK20" i="30"/>
  <c r="AJ20" i="30"/>
  <c r="AK19" i="30"/>
  <c r="AJ19" i="30"/>
  <c r="AK18" i="30"/>
  <c r="AJ18" i="30"/>
  <c r="AK17" i="30"/>
  <c r="AJ17" i="30"/>
  <c r="AK16" i="30"/>
  <c r="AJ16" i="30"/>
  <c r="AK15" i="30"/>
  <c r="AJ15" i="30"/>
  <c r="AK14" i="30"/>
  <c r="AJ14" i="30"/>
  <c r="AK13" i="30"/>
  <c r="AJ13" i="30"/>
  <c r="AK12" i="30"/>
  <c r="AJ12" i="30"/>
  <c r="AK11" i="30"/>
  <c r="AJ11" i="30"/>
  <c r="AK10" i="30"/>
  <c r="AJ10" i="30"/>
  <c r="AK9" i="30"/>
  <c r="AJ9" i="30"/>
  <c r="AK8" i="30"/>
  <c r="AJ8" i="30"/>
  <c r="AK7" i="30"/>
  <c r="AJ7" i="30"/>
  <c r="AG22" i="30"/>
  <c r="AF22" i="30"/>
  <c r="AG21" i="30"/>
  <c r="AF21" i="30"/>
  <c r="AG20" i="30"/>
  <c r="AF20" i="30"/>
  <c r="AG19" i="30"/>
  <c r="AF19" i="30"/>
  <c r="AG18" i="30"/>
  <c r="AF18" i="30"/>
  <c r="AG17" i="30"/>
  <c r="AF17" i="30"/>
  <c r="AG16" i="30"/>
  <c r="AF16" i="30"/>
  <c r="AG15" i="30"/>
  <c r="AF15" i="30"/>
  <c r="AG14" i="30"/>
  <c r="AF14" i="30"/>
  <c r="AG13" i="30"/>
  <c r="AF13" i="30"/>
  <c r="AG12" i="30"/>
  <c r="AF12" i="30"/>
  <c r="AG11" i="30"/>
  <c r="AF11" i="30"/>
  <c r="AG10" i="30"/>
  <c r="AF10" i="30"/>
  <c r="AG9" i="30"/>
  <c r="AF9" i="30"/>
  <c r="AG8" i="30"/>
  <c r="AF8" i="30"/>
  <c r="AG7" i="30"/>
  <c r="AF7" i="30"/>
  <c r="AC22" i="30"/>
  <c r="AB22" i="30"/>
  <c r="AC21" i="30"/>
  <c r="AB21" i="30"/>
  <c r="AC20" i="30"/>
  <c r="AB20" i="30"/>
  <c r="AC19" i="30"/>
  <c r="AB19" i="30"/>
  <c r="AC18" i="30"/>
  <c r="AB18" i="30"/>
  <c r="AC17" i="30"/>
  <c r="AB17" i="30"/>
  <c r="AC16" i="30"/>
  <c r="AB16" i="30"/>
  <c r="AC15" i="30"/>
  <c r="AB15" i="30"/>
  <c r="AC14" i="30"/>
  <c r="AB14" i="30"/>
  <c r="AC13" i="30"/>
  <c r="AB13" i="30"/>
  <c r="AC12" i="30"/>
  <c r="AB12" i="30"/>
  <c r="AC11" i="30"/>
  <c r="AB11" i="30"/>
  <c r="AC10" i="30"/>
  <c r="AB10" i="30"/>
  <c r="AC9" i="30"/>
  <c r="AB9" i="30"/>
  <c r="AC8" i="30"/>
  <c r="AB8" i="30"/>
  <c r="AC7" i="30"/>
  <c r="AB7" i="30"/>
  <c r="X8" i="30"/>
  <c r="Y8" i="30"/>
  <c r="X9" i="30"/>
  <c r="Y9" i="30"/>
  <c r="X10" i="30"/>
  <c r="Y10" i="30"/>
  <c r="X11" i="30"/>
  <c r="Y11" i="30"/>
  <c r="X12" i="30"/>
  <c r="Y12" i="30"/>
  <c r="X13" i="30"/>
  <c r="Y13" i="30"/>
  <c r="X14" i="30"/>
  <c r="Y14" i="30"/>
  <c r="X15" i="30"/>
  <c r="Y15" i="30"/>
  <c r="X16" i="30"/>
  <c r="Y16" i="30"/>
  <c r="X17" i="30"/>
  <c r="Y17" i="30"/>
  <c r="X18" i="30"/>
  <c r="Y18" i="30"/>
  <c r="X19" i="30"/>
  <c r="Y19" i="30"/>
  <c r="X20" i="30"/>
  <c r="Y20" i="30"/>
  <c r="X21" i="30"/>
  <c r="Y21" i="30"/>
  <c r="X22" i="30"/>
  <c r="Y22" i="30"/>
  <c r="Y7" i="30"/>
  <c r="X7" i="30"/>
  <c r="T8" i="30"/>
  <c r="U8" i="30"/>
  <c r="T9" i="30"/>
  <c r="U9" i="30"/>
  <c r="T10" i="30"/>
  <c r="U10" i="30"/>
  <c r="T11" i="30"/>
  <c r="U11" i="30"/>
  <c r="T12" i="30"/>
  <c r="U12" i="30"/>
  <c r="T13" i="30"/>
  <c r="U13" i="30"/>
  <c r="T14" i="30"/>
  <c r="U14" i="30"/>
  <c r="T15" i="30"/>
  <c r="U15" i="30"/>
  <c r="T16" i="30"/>
  <c r="U16" i="30"/>
  <c r="T17" i="30"/>
  <c r="U17" i="30"/>
  <c r="T18" i="30"/>
  <c r="U18" i="30"/>
  <c r="T19" i="30"/>
  <c r="U19" i="30"/>
  <c r="T20" i="30"/>
  <c r="U20" i="30"/>
  <c r="T21" i="30"/>
  <c r="U21" i="30"/>
  <c r="T22" i="30"/>
  <c r="U22" i="30"/>
  <c r="U7" i="30"/>
  <c r="T7" i="30"/>
  <c r="AO24" i="28" l="1"/>
  <c r="AN24" i="28"/>
  <c r="P8" i="30" l="1"/>
  <c r="Q8" i="30"/>
  <c r="P9" i="30"/>
  <c r="Q9" i="30"/>
  <c r="P10" i="30"/>
  <c r="Q10" i="30"/>
  <c r="P11" i="30"/>
  <c r="Q11" i="30"/>
  <c r="P12" i="30"/>
  <c r="Q12" i="30"/>
  <c r="P13" i="30"/>
  <c r="Q13" i="30"/>
  <c r="P14" i="30"/>
  <c r="Q14" i="30"/>
  <c r="P15" i="30"/>
  <c r="Q15" i="30"/>
  <c r="P16" i="30"/>
  <c r="Q16" i="30"/>
  <c r="P17" i="30"/>
  <c r="Q17" i="30"/>
  <c r="P18" i="30"/>
  <c r="Q18" i="30"/>
  <c r="P19" i="30"/>
  <c r="Q19" i="30"/>
  <c r="P20" i="30"/>
  <c r="Q20" i="30"/>
  <c r="P21" i="30"/>
  <c r="Q21" i="30"/>
  <c r="P22" i="30"/>
  <c r="Q22" i="30"/>
  <c r="Q7" i="30"/>
  <c r="P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M7" i="30"/>
  <c r="L7" i="30"/>
  <c r="I8" i="30"/>
  <c r="I11" i="30"/>
  <c r="I12" i="30"/>
  <c r="I13" i="30"/>
  <c r="I15" i="30"/>
  <c r="I16" i="30"/>
  <c r="I17" i="30"/>
  <c r="I18" i="30"/>
  <c r="I19" i="30"/>
  <c r="I20" i="30"/>
  <c r="I21" i="30"/>
  <c r="I22" i="30"/>
  <c r="H13" i="30"/>
  <c r="H14" i="30"/>
  <c r="H15" i="30"/>
  <c r="H16" i="30"/>
  <c r="H17" i="30"/>
  <c r="H18" i="30"/>
  <c r="H19" i="30"/>
  <c r="H20" i="30"/>
  <c r="H21" i="30"/>
  <c r="H22" i="30"/>
  <c r="H8" i="30"/>
  <c r="H9" i="30"/>
  <c r="H11" i="30"/>
  <c r="H12" i="30"/>
  <c r="E13" i="30"/>
  <c r="E15" i="30"/>
  <c r="E17" i="30"/>
  <c r="E18" i="30"/>
  <c r="E20" i="30"/>
  <c r="E21" i="30"/>
  <c r="E22" i="30"/>
  <c r="E8" i="30"/>
  <c r="E9" i="30"/>
  <c r="E11" i="30"/>
  <c r="D13" i="30"/>
  <c r="D14" i="30"/>
  <c r="D15" i="30"/>
  <c r="D16" i="30"/>
  <c r="D17" i="30"/>
  <c r="D18" i="30"/>
  <c r="D19" i="30"/>
  <c r="D20" i="30"/>
  <c r="D21" i="30"/>
  <c r="D22" i="30"/>
  <c r="D8" i="30"/>
  <c r="D9" i="30"/>
  <c r="D11" i="30"/>
  <c r="E7" i="30"/>
  <c r="D7" i="30"/>
  <c r="H24" i="30" l="1"/>
  <c r="J13" i="30" s="1"/>
  <c r="BC7" i="30"/>
  <c r="AZ7" i="30"/>
  <c r="AW24" i="30"/>
  <c r="AV24" i="30"/>
  <c r="AS24" i="30"/>
  <c r="AU20" i="30" s="1"/>
  <c r="AR24" i="30"/>
  <c r="AT21" i="30" s="1"/>
  <c r="AO24" i="30"/>
  <c r="AQ22" i="30" s="1"/>
  <c r="AN24" i="30"/>
  <c r="AP19" i="30" s="1"/>
  <c r="AK24" i="30"/>
  <c r="AY22" i="30" s="1"/>
  <c r="AJ24" i="30"/>
  <c r="AX22" i="30" s="1"/>
  <c r="AG24" i="30"/>
  <c r="AI22" i="30" s="1"/>
  <c r="AF24" i="30"/>
  <c r="AH22" i="30" s="1"/>
  <c r="AC24" i="30"/>
  <c r="AE22" i="30" s="1"/>
  <c r="AB24" i="30"/>
  <c r="AD22" i="30" s="1"/>
  <c r="Y24" i="30"/>
  <c r="AA22" i="30" s="1"/>
  <c r="X24" i="30"/>
  <c r="Z22" i="30" s="1"/>
  <c r="U24" i="30"/>
  <c r="W22" i="30" s="1"/>
  <c r="T24" i="30"/>
  <c r="V19" i="30" s="1"/>
  <c r="Q24" i="30"/>
  <c r="S22" i="30" s="1"/>
  <c r="P24" i="30"/>
  <c r="R15" i="30" s="1"/>
  <c r="M24" i="30"/>
  <c r="O22" i="30" s="1"/>
  <c r="L24" i="30"/>
  <c r="N22" i="30" s="1"/>
  <c r="I24" i="30"/>
  <c r="K22" i="30" s="1"/>
  <c r="BF22" i="30"/>
  <c r="BE22" i="30"/>
  <c r="BD22" i="30"/>
  <c r="BC22" i="30"/>
  <c r="AZ22" i="30"/>
  <c r="BF21" i="30"/>
  <c r="BE21" i="30"/>
  <c r="BD21" i="30"/>
  <c r="BC21" i="30"/>
  <c r="AZ21" i="30"/>
  <c r="BF20" i="30"/>
  <c r="BE20" i="30"/>
  <c r="BD20" i="30"/>
  <c r="BC20" i="30"/>
  <c r="AZ20" i="30"/>
  <c r="BF19" i="30"/>
  <c r="BE19" i="30"/>
  <c r="BD19" i="30"/>
  <c r="BF18" i="30"/>
  <c r="BE18" i="30"/>
  <c r="BD18" i="30"/>
  <c r="BC18" i="30"/>
  <c r="AZ18" i="30"/>
  <c r="BF17" i="30"/>
  <c r="BE17" i="30"/>
  <c r="BD17" i="30"/>
  <c r="BC17" i="30"/>
  <c r="AZ17" i="30"/>
  <c r="BF16" i="30"/>
  <c r="BE16" i="30"/>
  <c r="BD16" i="30"/>
  <c r="BF15" i="30"/>
  <c r="BE15" i="30"/>
  <c r="BD15" i="30"/>
  <c r="BC15" i="30"/>
  <c r="AZ15" i="30"/>
  <c r="BF14" i="30"/>
  <c r="BE14" i="30"/>
  <c r="BD14" i="30"/>
  <c r="BF13" i="30"/>
  <c r="BE13" i="30"/>
  <c r="BD13" i="30"/>
  <c r="BC13" i="30"/>
  <c r="BF12" i="30"/>
  <c r="BE12" i="30"/>
  <c r="BD12" i="30"/>
  <c r="BF11" i="30"/>
  <c r="BE11" i="30"/>
  <c r="BD11" i="30"/>
  <c r="BC11" i="30"/>
  <c r="AZ11" i="30"/>
  <c r="BF10" i="30"/>
  <c r="BE10" i="30"/>
  <c r="BD10" i="30"/>
  <c r="BF9" i="30"/>
  <c r="BE9" i="30"/>
  <c r="BD9" i="30"/>
  <c r="BC9" i="30"/>
  <c r="AZ9" i="30"/>
  <c r="BF8" i="30"/>
  <c r="BE8" i="30"/>
  <c r="BD8" i="30"/>
  <c r="BC8" i="30"/>
  <c r="AZ8" i="30"/>
  <c r="B8" i="30"/>
  <c r="B9" i="30" s="1"/>
  <c r="B10" i="30" s="1"/>
  <c r="B11" i="30" s="1"/>
  <c r="B12" i="30" s="1"/>
  <c r="B13" i="30" s="1"/>
  <c r="B14" i="30" s="1"/>
  <c r="BF7" i="30"/>
  <c r="BE7" i="30"/>
  <c r="BD7" i="30"/>
  <c r="K19" i="30" l="1"/>
  <c r="B15" i="30"/>
  <c r="B16" i="30" s="1"/>
  <c r="B17" i="30" s="1"/>
  <c r="B18" i="30" s="1"/>
  <c r="B19" i="30" s="1"/>
  <c r="B20" i="30" s="1"/>
  <c r="B21" i="30" s="1"/>
  <c r="B22" i="30" s="1"/>
  <c r="S20" i="30"/>
  <c r="Z15" i="30"/>
  <c r="O8" i="30"/>
  <c r="S17" i="30"/>
  <c r="V7" i="30"/>
  <c r="AH19" i="30"/>
  <c r="O19" i="30"/>
  <c r="V9" i="30"/>
  <c r="AU22" i="30"/>
  <c r="AP7" i="30"/>
  <c r="AP13" i="30"/>
  <c r="AY12" i="30"/>
  <c r="AH8" i="30"/>
  <c r="AZ33" i="30"/>
  <c r="AH12" i="30"/>
  <c r="AZ32" i="30"/>
  <c r="AZ36" i="30"/>
  <c r="AZ35" i="30"/>
  <c r="R7" i="30"/>
  <c r="J8" i="30"/>
  <c r="AU13" i="30"/>
  <c r="V22" i="30"/>
  <c r="V20" i="30"/>
  <c r="V21" i="30"/>
  <c r="AU9" i="30"/>
  <c r="AT20" i="30"/>
  <c r="AT22" i="30"/>
  <c r="AT7" i="30"/>
  <c r="AT9" i="30"/>
  <c r="AT12" i="30"/>
  <c r="AT14" i="30"/>
  <c r="AT17" i="30"/>
  <c r="AU19" i="30"/>
  <c r="AU7" i="30"/>
  <c r="AU17" i="30"/>
  <c r="AU18" i="30"/>
  <c r="AU21" i="30"/>
  <c r="AT8" i="30"/>
  <c r="AT10" i="30"/>
  <c r="AT11" i="30"/>
  <c r="AT13" i="30"/>
  <c r="AT15" i="30"/>
  <c r="AT16" i="30"/>
  <c r="AT18" i="30"/>
  <c r="AT19" i="30"/>
  <c r="AP21" i="30"/>
  <c r="AP22" i="30"/>
  <c r="Z7" i="30"/>
  <c r="Z14" i="30"/>
  <c r="R12" i="30"/>
  <c r="N14" i="30"/>
  <c r="N15" i="30"/>
  <c r="J18" i="30"/>
  <c r="J19" i="30"/>
  <c r="N19" i="30"/>
  <c r="J20" i="30"/>
  <c r="J22" i="30"/>
  <c r="AM7" i="30"/>
  <c r="AY7" i="30"/>
  <c r="AM8" i="30"/>
  <c r="AU8" i="30"/>
  <c r="J9" i="30"/>
  <c r="AU10" i="30"/>
  <c r="J11" i="30"/>
  <c r="AU11" i="30"/>
  <c r="J12" i="30"/>
  <c r="AU12" i="30"/>
  <c r="N13" i="30"/>
  <c r="J14" i="30"/>
  <c r="R14" i="30"/>
  <c r="AM14" i="30"/>
  <c r="AU14" i="30"/>
  <c r="J15" i="30"/>
  <c r="AE15" i="30"/>
  <c r="AU15" i="30"/>
  <c r="J16" i="30"/>
  <c r="AU16" i="30"/>
  <c r="J17" i="30"/>
  <c r="AA20" i="30"/>
  <c r="J21" i="30"/>
  <c r="AM21" i="30"/>
  <c r="AM22" i="30"/>
  <c r="V8" i="30"/>
  <c r="V12" i="30"/>
  <c r="V13" i="30"/>
  <c r="V14" i="30"/>
  <c r="V15" i="30"/>
  <c r="Z8" i="30"/>
  <c r="AP9" i="30"/>
  <c r="AP11" i="30"/>
  <c r="W16" i="30"/>
  <c r="AY17" i="30"/>
  <c r="AA9" i="30"/>
  <c r="AZ29" i="30"/>
  <c r="AM13" i="30"/>
  <c r="AY13" i="30"/>
  <c r="AY15" i="30"/>
  <c r="AQ16" i="30"/>
  <c r="AE17" i="30"/>
  <c r="AA18" i="30"/>
  <c r="AE19" i="30"/>
  <c r="AI19" i="30"/>
  <c r="S21" i="30"/>
  <c r="W21" i="30"/>
  <c r="AP20" i="30"/>
  <c r="AE7" i="30"/>
  <c r="K9" i="30"/>
  <c r="AI9" i="30"/>
  <c r="AA10" i="30"/>
  <c r="AI11" i="30"/>
  <c r="AA12" i="30"/>
  <c r="AI12" i="30"/>
  <c r="AA13" i="30"/>
  <c r="AM15" i="30"/>
  <c r="S16" i="30"/>
  <c r="AI16" i="30"/>
  <c r="K17" i="30"/>
  <c r="W17" i="30"/>
  <c r="AM17" i="30"/>
  <c r="AQ18" i="30"/>
  <c r="W19" i="30"/>
  <c r="AQ19" i="30"/>
  <c r="AM20" i="30"/>
  <c r="K21" i="30"/>
  <c r="AE21" i="30"/>
  <c r="W7" i="30"/>
  <c r="AA7" i="30"/>
  <c r="AI7" i="30"/>
  <c r="W8" i="30"/>
  <c r="AA8" i="30"/>
  <c r="AI8" i="30"/>
  <c r="AY8" i="30"/>
  <c r="O9" i="30"/>
  <c r="AE9" i="30"/>
  <c r="AM9" i="30"/>
  <c r="AY9" i="30"/>
  <c r="W10" i="30"/>
  <c r="AM10" i="30"/>
  <c r="O11" i="30"/>
  <c r="AE11" i="30"/>
  <c r="AM11" i="30"/>
  <c r="AY11" i="30"/>
  <c r="O12" i="30"/>
  <c r="AM12" i="30"/>
  <c r="W13" i="30"/>
  <c r="AI13" i="30"/>
  <c r="K14" i="30"/>
  <c r="O14" i="30"/>
  <c r="S14" i="30"/>
  <c r="W14" i="30"/>
  <c r="AA14" i="30"/>
  <c r="K15" i="30"/>
  <c r="O15" i="30"/>
  <c r="S15" i="30"/>
  <c r="W15" i="30"/>
  <c r="AA15" i="30"/>
  <c r="AI15" i="30"/>
  <c r="AQ15" i="30"/>
  <c r="O16" i="30"/>
  <c r="AA16" i="30"/>
  <c r="AM16" i="30"/>
  <c r="AY16" i="30"/>
  <c r="O17" i="30"/>
  <c r="AA17" i="30"/>
  <c r="AI17" i="30"/>
  <c r="AQ17" i="30"/>
  <c r="S18" i="30"/>
  <c r="W18" i="30"/>
  <c r="AM18" i="30"/>
  <c r="AY18" i="30"/>
  <c r="S19" i="30"/>
  <c r="AA19" i="30"/>
  <c r="AM19" i="30"/>
  <c r="O20" i="30"/>
  <c r="AI20" i="30"/>
  <c r="O21" i="30"/>
  <c r="AA21" i="30"/>
  <c r="AI21" i="30"/>
  <c r="J7" i="30"/>
  <c r="AH7" i="30"/>
  <c r="N8" i="30"/>
  <c r="AP8" i="30"/>
  <c r="Z9" i="30"/>
  <c r="J10" i="30"/>
  <c r="V10" i="30"/>
  <c r="AP10" i="30"/>
  <c r="N11" i="30"/>
  <c r="R11" i="30"/>
  <c r="V11" i="30"/>
  <c r="AH11" i="30"/>
  <c r="Z12" i="30"/>
  <c r="AD12" i="30"/>
  <c r="AP12" i="30"/>
  <c r="R13" i="30"/>
  <c r="AD13" i="30"/>
  <c r="AP14" i="30"/>
  <c r="AH15" i="30"/>
  <c r="AL15" i="30"/>
  <c r="AP15" i="30"/>
  <c r="AX15" i="30"/>
  <c r="N16" i="30"/>
  <c r="R16" i="30"/>
  <c r="V16" i="30"/>
  <c r="Z16" i="30"/>
  <c r="AH16" i="30"/>
  <c r="AL16" i="30"/>
  <c r="AP16" i="30"/>
  <c r="AX16" i="30"/>
  <c r="R17" i="30"/>
  <c r="V17" i="30"/>
  <c r="Z17" i="30"/>
  <c r="AL17" i="30"/>
  <c r="AP17" i="30"/>
  <c r="AX17" i="30"/>
  <c r="R18" i="30"/>
  <c r="V18" i="30"/>
  <c r="Z18" i="30"/>
  <c r="AL18" i="30"/>
  <c r="AP18" i="30"/>
  <c r="AX18" i="30"/>
  <c r="Z19" i="30"/>
  <c r="N20" i="30"/>
  <c r="Z20" i="30"/>
  <c r="AH20" i="30"/>
  <c r="AQ7" i="30"/>
  <c r="BF24" i="30"/>
  <c r="AQ8" i="30"/>
  <c r="AQ9" i="30"/>
  <c r="AQ10" i="30"/>
  <c r="AQ11" i="30"/>
  <c r="AQ12" i="30"/>
  <c r="AQ13" i="30"/>
  <c r="AQ21" i="30"/>
  <c r="AQ14" i="30"/>
  <c r="AQ20" i="30"/>
  <c r="AL11" i="30"/>
  <c r="AX11" i="30"/>
  <c r="AL12" i="30"/>
  <c r="AX12" i="30"/>
  <c r="AL13" i="30"/>
  <c r="AX13" i="30"/>
  <c r="AY10" i="30"/>
  <c r="AY14" i="30"/>
  <c r="AY19" i="30"/>
  <c r="AY20" i="30"/>
  <c r="AY21" i="30"/>
  <c r="AL7" i="30"/>
  <c r="AX7" i="30"/>
  <c r="AL8" i="30"/>
  <c r="AX8" i="30"/>
  <c r="AL9" i="30"/>
  <c r="AX9" i="30"/>
  <c r="AL10" i="30"/>
  <c r="AX10" i="30"/>
  <c r="AL14" i="30"/>
  <c r="AX14" i="30"/>
  <c r="AL19" i="30"/>
  <c r="AX19" i="30"/>
  <c r="AL20" i="30"/>
  <c r="AX20" i="30"/>
  <c r="AL21" i="30"/>
  <c r="AX21" i="30"/>
  <c r="AL22" i="30"/>
  <c r="AI10" i="30"/>
  <c r="AI14" i="30"/>
  <c r="AI18" i="30"/>
  <c r="AH9" i="30"/>
  <c r="AH10" i="30"/>
  <c r="AH13" i="30"/>
  <c r="AH14" i="30"/>
  <c r="AH17" i="30"/>
  <c r="AH18" i="30"/>
  <c r="AH21" i="30"/>
  <c r="AE8" i="30"/>
  <c r="AE10" i="30"/>
  <c r="AE12" i="30"/>
  <c r="AE13" i="30"/>
  <c r="AE14" i="30"/>
  <c r="AE16" i="30"/>
  <c r="AE18" i="30"/>
  <c r="AE20" i="30"/>
  <c r="AD7" i="30"/>
  <c r="AD8" i="30"/>
  <c r="AD9" i="30"/>
  <c r="AD10" i="30"/>
  <c r="AD11" i="30"/>
  <c r="AD14" i="30"/>
  <c r="AD15" i="30"/>
  <c r="AD16" i="30"/>
  <c r="AD17" i="30"/>
  <c r="AD18" i="30"/>
  <c r="AD19" i="30"/>
  <c r="AD20" i="30"/>
  <c r="AD21" i="30"/>
  <c r="AZ30" i="30"/>
  <c r="AA11" i="30"/>
  <c r="Z10" i="30"/>
  <c r="Z11" i="30"/>
  <c r="Z13" i="30"/>
  <c r="Z21" i="30"/>
  <c r="W9" i="30"/>
  <c r="W11" i="30"/>
  <c r="W12" i="30"/>
  <c r="W20" i="30"/>
  <c r="S7" i="30"/>
  <c r="S8" i="30"/>
  <c r="S9" i="30"/>
  <c r="S10" i="30"/>
  <c r="S11" i="30"/>
  <c r="S12" i="30"/>
  <c r="S13" i="30"/>
  <c r="R8" i="30"/>
  <c r="R9" i="30"/>
  <c r="R10" i="30"/>
  <c r="R19" i="30"/>
  <c r="R20" i="30"/>
  <c r="R21" i="30"/>
  <c r="R22" i="30"/>
  <c r="O7" i="30"/>
  <c r="O10" i="30"/>
  <c r="O13" i="30"/>
  <c r="O18" i="30"/>
  <c r="N7" i="30"/>
  <c r="N9" i="30"/>
  <c r="N10" i="30"/>
  <c r="N12" i="30"/>
  <c r="N17" i="30"/>
  <c r="N18" i="30"/>
  <c r="N21" i="30"/>
  <c r="K7" i="30"/>
  <c r="K8" i="30"/>
  <c r="K10" i="30"/>
  <c r="K11" i="30"/>
  <c r="K12" i="30"/>
  <c r="K13" i="30"/>
  <c r="K16" i="30"/>
  <c r="K18" i="30"/>
  <c r="K20" i="30"/>
  <c r="BE24" i="30"/>
  <c r="BD24" i="30"/>
  <c r="AT24" i="30" l="1"/>
  <c r="AU24" i="30"/>
  <c r="V24" i="30"/>
  <c r="AM24" i="30"/>
  <c r="AP24" i="30"/>
  <c r="AA24" i="30"/>
  <c r="AI24" i="30"/>
  <c r="J24" i="30"/>
  <c r="K24" i="30"/>
  <c r="S24" i="30"/>
  <c r="AQ24" i="30"/>
  <c r="AE24" i="30"/>
  <c r="AY24" i="30"/>
  <c r="AL24" i="30"/>
  <c r="AX24" i="30"/>
  <c r="AH24" i="30"/>
  <c r="AD24" i="30"/>
  <c r="Z24" i="30"/>
  <c r="W24" i="30"/>
  <c r="R24" i="30"/>
  <c r="O24" i="30"/>
  <c r="N24" i="30"/>
  <c r="AO24" i="15" l="1"/>
  <c r="AN24" i="15"/>
  <c r="BF22" i="29" l="1"/>
  <c r="BE22" i="29"/>
  <c r="BD22" i="29"/>
  <c r="BC22" i="29"/>
  <c r="BF21" i="29"/>
  <c r="BE21" i="29"/>
  <c r="BD21" i="29"/>
  <c r="BC21" i="29"/>
  <c r="BF20" i="29"/>
  <c r="BE20" i="29"/>
  <c r="BD20" i="29"/>
  <c r="BC20" i="29"/>
  <c r="BF19" i="29"/>
  <c r="BE19" i="29"/>
  <c r="BD19" i="29"/>
  <c r="BC19" i="29"/>
  <c r="BF18" i="29"/>
  <c r="BE18" i="29"/>
  <c r="BD18" i="29"/>
  <c r="BC18" i="29"/>
  <c r="BF17" i="29"/>
  <c r="BE17" i="29"/>
  <c r="BD17" i="29"/>
  <c r="BC17" i="29"/>
  <c r="BF16" i="29"/>
  <c r="BE16" i="29"/>
  <c r="BD16" i="29"/>
  <c r="BC16" i="29"/>
  <c r="BF15" i="29"/>
  <c r="BE15" i="29"/>
  <c r="BD15" i="29"/>
  <c r="BC15" i="29"/>
  <c r="BF14" i="29"/>
  <c r="BE14" i="29"/>
  <c r="BD14" i="29"/>
  <c r="BC14" i="29"/>
  <c r="BF13" i="29"/>
  <c r="BE13" i="29"/>
  <c r="BD13" i="29"/>
  <c r="BC13" i="29"/>
  <c r="BF12" i="29"/>
  <c r="BE12" i="29"/>
  <c r="BD12" i="29"/>
  <c r="BC12" i="29"/>
  <c r="BF11" i="29"/>
  <c r="BE11" i="29"/>
  <c r="BD11" i="29"/>
  <c r="BC11" i="29"/>
  <c r="BF10" i="29"/>
  <c r="AZ35" i="29" s="1"/>
  <c r="BE10" i="29"/>
  <c r="AZ32" i="29" s="1"/>
  <c r="BD10" i="29"/>
  <c r="AZ29" i="29" s="1"/>
  <c r="BC10" i="29"/>
  <c r="BF9" i="29"/>
  <c r="BE9" i="29"/>
  <c r="BD9" i="29"/>
  <c r="BC9" i="29"/>
  <c r="BF8" i="29"/>
  <c r="BE8" i="29"/>
  <c r="BD8" i="29"/>
  <c r="BC8" i="29"/>
  <c r="BF7" i="29"/>
  <c r="BE7" i="29"/>
  <c r="BD7" i="29"/>
  <c r="BC7" i="29"/>
  <c r="BF8" i="28"/>
  <c r="BF9" i="28"/>
  <c r="BF10" i="28"/>
  <c r="BF11" i="28"/>
  <c r="BF12" i="28"/>
  <c r="BF13" i="28"/>
  <c r="BF14" i="28"/>
  <c r="BF15" i="28"/>
  <c r="BF16" i="28"/>
  <c r="BF17" i="28"/>
  <c r="BF18" i="28"/>
  <c r="BF19" i="28"/>
  <c r="BF20" i="28"/>
  <c r="BF21" i="28"/>
  <c r="BF22" i="28"/>
  <c r="BF7" i="28"/>
  <c r="BE8" i="28"/>
  <c r="BE9" i="28"/>
  <c r="BE10" i="28"/>
  <c r="BE11" i="28"/>
  <c r="BE12" i="28"/>
  <c r="BE13" i="28"/>
  <c r="BE14" i="28"/>
  <c r="BE15" i="28"/>
  <c r="BE16" i="28"/>
  <c r="BE17" i="28"/>
  <c r="BE18" i="28"/>
  <c r="BE19" i="28"/>
  <c r="BE20" i="28"/>
  <c r="BE21" i="28"/>
  <c r="BE22" i="28"/>
  <c r="BE7" i="28"/>
  <c r="BD8" i="28"/>
  <c r="BD9" i="28"/>
  <c r="BD10" i="28"/>
  <c r="BD11" i="28"/>
  <c r="BD12" i="28"/>
  <c r="BD13" i="28"/>
  <c r="BD14" i="28"/>
  <c r="BD15" i="28"/>
  <c r="BD16" i="28"/>
  <c r="BD17" i="28"/>
  <c r="BD18" i="28"/>
  <c r="BD19" i="28"/>
  <c r="BD20" i="28"/>
  <c r="BD21" i="28"/>
  <c r="BD22" i="28"/>
  <c r="BD7" i="28"/>
  <c r="BC8" i="28"/>
  <c r="BC9" i="28"/>
  <c r="BC10" i="28"/>
  <c r="BC11" i="28"/>
  <c r="BC12" i="28"/>
  <c r="BC13" i="28"/>
  <c r="BC14" i="28"/>
  <c r="BC15" i="28"/>
  <c r="BC16" i="28"/>
  <c r="BC17" i="28"/>
  <c r="BC18" i="28"/>
  <c r="BC19" i="28"/>
  <c r="BC20" i="28"/>
  <c r="BC21" i="28"/>
  <c r="BC22" i="28"/>
  <c r="BC7" i="28"/>
  <c r="AZ33" i="29" l="1"/>
  <c r="AZ36" i="29"/>
  <c r="AZ36" i="28"/>
  <c r="AZ33" i="28"/>
  <c r="AZ32" i="28"/>
  <c r="AZ29" i="28"/>
  <c r="AZ26" i="28"/>
  <c r="AZ35" i="28"/>
  <c r="AZ27" i="28"/>
  <c r="BC24" i="29"/>
  <c r="AZ27" i="29"/>
  <c r="AZ26" i="29"/>
  <c r="BD24" i="29"/>
  <c r="AZ30" i="29"/>
  <c r="BF24" i="29"/>
  <c r="BC24" i="28"/>
  <c r="AZ30" i="28"/>
  <c r="BD24" i="28"/>
  <c r="BF24" i="28"/>
  <c r="BE24" i="29"/>
  <c r="BE24" i="28"/>
  <c r="E19" i="30" l="1"/>
  <c r="BC19" i="30" l="1"/>
  <c r="AZ19" i="30"/>
  <c r="U24" i="22"/>
  <c r="D12" i="27" l="1"/>
  <c r="D12" i="30" s="1"/>
  <c r="D24" i="30" l="1"/>
  <c r="F12" i="30" s="1"/>
  <c r="BA12" i="30" s="1"/>
  <c r="E16" i="30"/>
  <c r="BC16" i="30" l="1"/>
  <c r="AZ16" i="30"/>
  <c r="F22" i="30"/>
  <c r="BA22" i="30" s="1"/>
  <c r="F15" i="30"/>
  <c r="BA15" i="30" s="1"/>
  <c r="F9" i="30"/>
  <c r="BA9" i="30" s="1"/>
  <c r="F13" i="30"/>
  <c r="BA13" i="30" s="1"/>
  <c r="F14" i="30"/>
  <c r="BA14" i="30" s="1"/>
  <c r="F21" i="30"/>
  <c r="BA21" i="30" s="1"/>
  <c r="F16" i="30"/>
  <c r="BA16" i="30" s="1"/>
  <c r="F20" i="30"/>
  <c r="BA20" i="30" s="1"/>
  <c r="F10" i="30"/>
  <c r="BA10" i="30" s="1"/>
  <c r="F8" i="30"/>
  <c r="BA8" i="30" s="1"/>
  <c r="F19" i="30"/>
  <c r="BA19" i="30" s="1"/>
  <c r="F11" i="30"/>
  <c r="BA11" i="30" s="1"/>
  <c r="F17" i="30"/>
  <c r="BA17" i="30" s="1"/>
  <c r="F7" i="30"/>
  <c r="F18" i="30"/>
  <c r="BA18" i="30" s="1"/>
  <c r="AW24" i="29"/>
  <c r="AV24" i="29"/>
  <c r="AS24" i="29"/>
  <c r="AR24" i="29"/>
  <c r="AT16" i="29" s="1"/>
  <c r="AO24" i="29"/>
  <c r="AQ17" i="29" s="1"/>
  <c r="AN24" i="29"/>
  <c r="AK24" i="29"/>
  <c r="AJ24" i="29"/>
  <c r="AL13" i="29" s="1"/>
  <c r="AG24" i="29"/>
  <c r="AF24" i="29"/>
  <c r="AC24" i="29"/>
  <c r="AE8" i="29" s="1"/>
  <c r="AB24" i="29"/>
  <c r="AD8" i="29" s="1"/>
  <c r="Y24" i="29"/>
  <c r="AA9" i="29" s="1"/>
  <c r="X24" i="29"/>
  <c r="U24" i="29"/>
  <c r="W13" i="29" s="1"/>
  <c r="T24" i="29"/>
  <c r="V13" i="29" s="1"/>
  <c r="Q24" i="29"/>
  <c r="P24" i="29"/>
  <c r="M24" i="29"/>
  <c r="O16" i="29" s="1"/>
  <c r="L24" i="29"/>
  <c r="N13" i="29" s="1"/>
  <c r="I24" i="29"/>
  <c r="K15" i="29" s="1"/>
  <c r="H24" i="29"/>
  <c r="J21" i="29" s="1"/>
  <c r="E24" i="29"/>
  <c r="G13" i="29" s="1"/>
  <c r="D24" i="29"/>
  <c r="F21" i="29" s="1"/>
  <c r="AZ22" i="29"/>
  <c r="AZ21" i="29"/>
  <c r="AZ20" i="29"/>
  <c r="AZ19" i="29"/>
  <c r="AZ18" i="29"/>
  <c r="G18" i="29"/>
  <c r="AZ17" i="29"/>
  <c r="AZ16" i="29"/>
  <c r="AQ16" i="29"/>
  <c r="G16" i="29"/>
  <c r="AZ15" i="29"/>
  <c r="AZ14" i="29"/>
  <c r="G14" i="29"/>
  <c r="F14" i="29"/>
  <c r="AZ12" i="29"/>
  <c r="AZ11" i="29"/>
  <c r="S11" i="29"/>
  <c r="G11" i="29"/>
  <c r="AZ10" i="29"/>
  <c r="F10" i="29"/>
  <c r="AZ9" i="29"/>
  <c r="K9" i="29"/>
  <c r="G9" i="29"/>
  <c r="AZ8" i="29"/>
  <c r="AU8" i="29"/>
  <c r="O8" i="29"/>
  <c r="B8" i="29"/>
  <c r="B9" i="29" s="1"/>
  <c r="B10" i="29" s="1"/>
  <c r="B11" i="29" s="1"/>
  <c r="B12" i="29" s="1"/>
  <c r="B13" i="29" s="1"/>
  <c r="B14" i="29" s="1"/>
  <c r="AZ7" i="29"/>
  <c r="G7" i="29"/>
  <c r="AW24" i="28"/>
  <c r="AV24" i="28"/>
  <c r="AS24" i="28"/>
  <c r="AU17" i="28" s="1"/>
  <c r="AR24" i="28"/>
  <c r="AT10" i="28" s="1"/>
  <c r="AQ20" i="28"/>
  <c r="AK24" i="28"/>
  <c r="AM20" i="28" s="1"/>
  <c r="AJ24" i="28"/>
  <c r="AL8" i="28" s="1"/>
  <c r="AG24" i="28"/>
  <c r="AI15" i="28" s="1"/>
  <c r="AF24" i="28"/>
  <c r="AH11" i="28" s="1"/>
  <c r="AC24" i="28"/>
  <c r="AE18" i="28" s="1"/>
  <c r="AB24" i="28"/>
  <c r="Y24" i="28"/>
  <c r="AA11" i="28" s="1"/>
  <c r="X24" i="28"/>
  <c r="Z11" i="28" s="1"/>
  <c r="U24" i="28"/>
  <c r="W20" i="28" s="1"/>
  <c r="T24" i="28"/>
  <c r="V12" i="28" s="1"/>
  <c r="Q24" i="28"/>
  <c r="S22" i="28" s="1"/>
  <c r="P24" i="28"/>
  <c r="M24" i="28"/>
  <c r="O21" i="28" s="1"/>
  <c r="L24" i="28"/>
  <c r="N9" i="28" s="1"/>
  <c r="I24" i="28"/>
  <c r="K22" i="28" s="1"/>
  <c r="H24" i="28"/>
  <c r="J12" i="28" s="1"/>
  <c r="E24" i="28"/>
  <c r="G20" i="28" s="1"/>
  <c r="D24" i="28"/>
  <c r="F8" i="28" s="1"/>
  <c r="AZ22" i="28"/>
  <c r="AZ21" i="28"/>
  <c r="AZ20" i="28"/>
  <c r="AZ19" i="28"/>
  <c r="AZ18" i="28"/>
  <c r="AZ17" i="28"/>
  <c r="O17" i="28"/>
  <c r="AZ16" i="28"/>
  <c r="G16" i="28"/>
  <c r="AZ15" i="28"/>
  <c r="G15" i="28"/>
  <c r="AZ14" i="28"/>
  <c r="AZ12" i="28"/>
  <c r="AZ11" i="28"/>
  <c r="AZ10" i="28"/>
  <c r="AZ9" i="28"/>
  <c r="AZ8" i="28"/>
  <c r="B8" i="28"/>
  <c r="B9" i="28" s="1"/>
  <c r="B10" i="28" s="1"/>
  <c r="B11" i="28" s="1"/>
  <c r="B12" i="28" s="1"/>
  <c r="AZ7" i="28"/>
  <c r="F11" i="28" l="1"/>
  <c r="J10" i="28"/>
  <c r="J7" i="28"/>
  <c r="J14" i="28"/>
  <c r="J9" i="28"/>
  <c r="BA7" i="30"/>
  <c r="BA24" i="30" s="1"/>
  <c r="F24" i="30"/>
  <c r="G9" i="28"/>
  <c r="G14" i="28"/>
  <c r="O7" i="29"/>
  <c r="O9" i="29"/>
  <c r="AQ7" i="29"/>
  <c r="AI8" i="28"/>
  <c r="W14" i="28"/>
  <c r="N7" i="29"/>
  <c r="AP7" i="29"/>
  <c r="F8" i="29"/>
  <c r="AT8" i="29"/>
  <c r="AH17" i="29"/>
  <c r="F18" i="29"/>
  <c r="AH8" i="29"/>
  <c r="N9" i="29"/>
  <c r="N10" i="29"/>
  <c r="F11" i="29"/>
  <c r="F15" i="29"/>
  <c r="F16" i="29"/>
  <c r="F17" i="29"/>
  <c r="N21" i="29"/>
  <c r="AP7" i="28"/>
  <c r="AP9" i="28"/>
  <c r="AP11" i="28"/>
  <c r="AP13" i="28"/>
  <c r="AP14" i="28"/>
  <c r="AP16" i="28"/>
  <c r="AP18" i="28"/>
  <c r="AP20" i="28"/>
  <c r="AP22" i="28"/>
  <c r="AP8" i="28"/>
  <c r="AP10" i="28"/>
  <c r="AP12" i="28"/>
  <c r="AP15" i="28"/>
  <c r="AP17" i="28"/>
  <c r="AP19" i="28"/>
  <c r="AP21" i="28"/>
  <c r="G19" i="28"/>
  <c r="W22" i="28"/>
  <c r="G7" i="28"/>
  <c r="AI7" i="28"/>
  <c r="W17" i="28"/>
  <c r="AA22" i="28"/>
  <c r="AP10" i="29"/>
  <c r="AP18" i="29"/>
  <c r="AL10" i="28"/>
  <c r="AL12" i="28"/>
  <c r="AL7" i="28"/>
  <c r="AL9" i="28"/>
  <c r="AH15" i="29"/>
  <c r="AH10" i="29"/>
  <c r="AH11" i="29"/>
  <c r="AH14" i="29"/>
  <c r="AH16" i="29"/>
  <c r="AH19" i="29"/>
  <c r="AH20" i="29"/>
  <c r="AI16" i="29"/>
  <c r="AI11" i="29"/>
  <c r="AI7" i="29"/>
  <c r="AI9" i="29"/>
  <c r="AI14" i="29"/>
  <c r="AI13" i="29"/>
  <c r="AI20" i="28"/>
  <c r="AI10" i="28"/>
  <c r="AM17" i="28"/>
  <c r="AL8" i="29"/>
  <c r="AY8" i="28"/>
  <c r="AM12" i="28"/>
  <c r="AY14" i="28"/>
  <c r="K16" i="28"/>
  <c r="AY17" i="28"/>
  <c r="AM19" i="28"/>
  <c r="K21" i="28"/>
  <c r="AM22" i="28"/>
  <c r="K7" i="29"/>
  <c r="AM8" i="29"/>
  <c r="AM10" i="29"/>
  <c r="AM9" i="28"/>
  <c r="AY10" i="28"/>
  <c r="AY20" i="28"/>
  <c r="AM8" i="28"/>
  <c r="AM14" i="28"/>
  <c r="K11" i="28"/>
  <c r="AY12" i="28"/>
  <c r="AM16" i="28"/>
  <c r="AY19" i="28"/>
  <c r="W21" i="28"/>
  <c r="AY22" i="28"/>
  <c r="AX11" i="29"/>
  <c r="V16" i="29"/>
  <c r="V17" i="29"/>
  <c r="AY7" i="28"/>
  <c r="AY16" i="28"/>
  <c r="K18" i="28"/>
  <c r="AM21" i="28"/>
  <c r="AY11" i="29"/>
  <c r="W16" i="29"/>
  <c r="W17" i="29"/>
  <c r="V22" i="29"/>
  <c r="AY9" i="28"/>
  <c r="AM11" i="28"/>
  <c r="K15" i="28"/>
  <c r="AM18" i="28"/>
  <c r="K20" i="28"/>
  <c r="AY21" i="28"/>
  <c r="K10" i="28"/>
  <c r="K9" i="28"/>
  <c r="AY11" i="28"/>
  <c r="AM15" i="28"/>
  <c r="K17" i="28"/>
  <c r="AY18" i="28"/>
  <c r="AL7" i="29"/>
  <c r="J10" i="29"/>
  <c r="W12" i="29"/>
  <c r="AX17" i="29"/>
  <c r="AQ13" i="29"/>
  <c r="K7" i="28"/>
  <c r="K12" i="28"/>
  <c r="K19" i="28"/>
  <c r="AM7" i="28"/>
  <c r="W11" i="28"/>
  <c r="K8" i="28"/>
  <c r="AM10" i="28"/>
  <c r="K14" i="28"/>
  <c r="AY15" i="28"/>
  <c r="AM7" i="29"/>
  <c r="J9" i="29"/>
  <c r="K10" i="29"/>
  <c r="O11" i="29"/>
  <c r="AY15" i="29"/>
  <c r="AP16" i="29"/>
  <c r="AY17" i="29"/>
  <c r="V20" i="29"/>
  <c r="O8" i="28"/>
  <c r="AQ11" i="28"/>
  <c r="O16" i="28"/>
  <c r="O15" i="28"/>
  <c r="F12" i="28"/>
  <c r="N7" i="28"/>
  <c r="O9" i="28"/>
  <c r="F10" i="28"/>
  <c r="AE11" i="28"/>
  <c r="AQ12" i="28"/>
  <c r="AI19" i="28"/>
  <c r="O7" i="28"/>
  <c r="AQ8" i="28"/>
  <c r="AI9" i="28"/>
  <c r="G10" i="28"/>
  <c r="AA18" i="28"/>
  <c r="N8" i="28"/>
  <c r="N12" i="28"/>
  <c r="N10" i="28"/>
  <c r="O12" i="28"/>
  <c r="AQ9" i="28"/>
  <c r="N11" i="28"/>
  <c r="AQ17" i="28"/>
  <c r="AQ21" i="28"/>
  <c r="AQ7" i="28"/>
  <c r="O11" i="28"/>
  <c r="AQ16" i="28"/>
  <c r="AA14" i="28"/>
  <c r="AQ15" i="28"/>
  <c r="AA19" i="28"/>
  <c r="G12" i="28"/>
  <c r="Z19" i="29"/>
  <c r="Z14" i="29"/>
  <c r="Z22" i="29"/>
  <c r="Z20" i="29"/>
  <c r="Z12" i="29"/>
  <c r="Z16" i="29"/>
  <c r="Z17" i="29"/>
  <c r="Z18" i="29"/>
  <c r="AA13" i="29"/>
  <c r="AA11" i="29"/>
  <c r="AA12" i="29"/>
  <c r="AA16" i="29"/>
  <c r="Z9" i="28"/>
  <c r="Z8" i="28"/>
  <c r="AA8" i="28"/>
  <c r="Z12" i="28"/>
  <c r="AA7" i="28"/>
  <c r="Z7" i="28"/>
  <c r="Z10" i="28"/>
  <c r="AA12" i="28"/>
  <c r="AA9" i="28"/>
  <c r="AA15" i="28"/>
  <c r="J8" i="29"/>
  <c r="AL9" i="29"/>
  <c r="AL18" i="29"/>
  <c r="K12" i="29"/>
  <c r="AM12" i="29"/>
  <c r="K14" i="29"/>
  <c r="AM14" i="29"/>
  <c r="AL17" i="29"/>
  <c r="AP20" i="29"/>
  <c r="AX21" i="29"/>
  <c r="AX22" i="29"/>
  <c r="AU10" i="28"/>
  <c r="AX11" i="28"/>
  <c r="Z7" i="29"/>
  <c r="AY7" i="29"/>
  <c r="AA8" i="29"/>
  <c r="AY8" i="29"/>
  <c r="W9" i="29"/>
  <c r="AX9" i="29"/>
  <c r="Z10" i="29"/>
  <c r="N12" i="29"/>
  <c r="AP12" i="29"/>
  <c r="N14" i="29"/>
  <c r="AP14" i="29"/>
  <c r="AL15" i="29"/>
  <c r="K16" i="29"/>
  <c r="J17" i="29"/>
  <c r="AM17" i="29"/>
  <c r="J18" i="29"/>
  <c r="F19" i="29"/>
  <c r="F20" i="29"/>
  <c r="AX20" i="29"/>
  <c r="K13" i="29"/>
  <c r="V21" i="29"/>
  <c r="AX10" i="29"/>
  <c r="V11" i="29"/>
  <c r="AL22" i="29"/>
  <c r="V7" i="29"/>
  <c r="AL14" i="29"/>
  <c r="AX19" i="29"/>
  <c r="AP21" i="29"/>
  <c r="J13" i="29"/>
  <c r="AP13" i="29"/>
  <c r="G8" i="28"/>
  <c r="W7" i="29"/>
  <c r="AX7" i="29"/>
  <c r="AX8" i="29"/>
  <c r="V9" i="29"/>
  <c r="AQ9" i="29"/>
  <c r="W10" i="29"/>
  <c r="J16" i="29"/>
  <c r="V10" i="28"/>
  <c r="AX10" i="28"/>
  <c r="AX12" i="28"/>
  <c r="AI14" i="28"/>
  <c r="AA7" i="29"/>
  <c r="Z9" i="29"/>
  <c r="AL11" i="29"/>
  <c r="O12" i="29"/>
  <c r="AQ12" i="29"/>
  <c r="V14" i="29"/>
  <c r="AX14" i="29"/>
  <c r="AM15" i="29"/>
  <c r="N16" i="29"/>
  <c r="AL16" i="29"/>
  <c r="K17" i="29"/>
  <c r="AP17" i="29"/>
  <c r="K18" i="29"/>
  <c r="J19" i="29"/>
  <c r="J20" i="29"/>
  <c r="J22" i="29"/>
  <c r="AY13" i="29"/>
  <c r="AM9" i="29"/>
  <c r="J15" i="29"/>
  <c r="AX16" i="29"/>
  <c r="AL19" i="29"/>
  <c r="AL21" i="29"/>
  <c r="AP9" i="29"/>
  <c r="V10" i="29"/>
  <c r="AY10" i="29"/>
  <c r="J12" i="29"/>
  <c r="AL12" i="29"/>
  <c r="J14" i="29"/>
  <c r="V15" i="29"/>
  <c r="AX18" i="29"/>
  <c r="AL20" i="29"/>
  <c r="AP22" i="29"/>
  <c r="Z13" i="29"/>
  <c r="V8" i="29"/>
  <c r="V7" i="28"/>
  <c r="AX7" i="28"/>
  <c r="AX8" i="28"/>
  <c r="V9" i="28"/>
  <c r="J7" i="29"/>
  <c r="AL10" i="29"/>
  <c r="J11" i="29"/>
  <c r="AQ11" i="29"/>
  <c r="V12" i="29"/>
  <c r="AX12" i="29"/>
  <c r="W14" i="29"/>
  <c r="AY14" i="29"/>
  <c r="AX15" i="29"/>
  <c r="AM16" i="29"/>
  <c r="N17" i="29"/>
  <c r="V18" i="29"/>
  <c r="V19" i="29"/>
  <c r="N20" i="29"/>
  <c r="N22" i="29"/>
  <c r="AH13" i="29"/>
  <c r="AX13" i="29"/>
  <c r="W7" i="28"/>
  <c r="W8" i="28"/>
  <c r="W9" i="28"/>
  <c r="W10" i="28"/>
  <c r="W12" i="28"/>
  <c r="W15" i="28"/>
  <c r="W16" i="28"/>
  <c r="W18" i="28"/>
  <c r="W19" i="28"/>
  <c r="O20" i="28"/>
  <c r="S18" i="28"/>
  <c r="S21" i="28"/>
  <c r="AT13" i="28"/>
  <c r="AT12" i="28"/>
  <c r="AT7" i="28"/>
  <c r="R22" i="29"/>
  <c r="AU15" i="29"/>
  <c r="AU14" i="29"/>
  <c r="AU10" i="29"/>
  <c r="AU9" i="29"/>
  <c r="AU13" i="29"/>
  <c r="AU17" i="29"/>
  <c r="AU7" i="29"/>
  <c r="AH13" i="28"/>
  <c r="AH9" i="28"/>
  <c r="AD13" i="28"/>
  <c r="AD12" i="28"/>
  <c r="AD7" i="28"/>
  <c r="AD20" i="29"/>
  <c r="R21" i="29"/>
  <c r="AD10" i="28"/>
  <c r="R11" i="28"/>
  <c r="S13" i="28"/>
  <c r="S12" i="28"/>
  <c r="S7" i="28"/>
  <c r="S19" i="28"/>
  <c r="S15" i="28"/>
  <c r="S9" i="28"/>
  <c r="AE13" i="28"/>
  <c r="AE12" i="28"/>
  <c r="AE7" i="28"/>
  <c r="AE21" i="28"/>
  <c r="AE17" i="28"/>
  <c r="AE9" i="28"/>
  <c r="AU13" i="28"/>
  <c r="AU12" i="28"/>
  <c r="AU7" i="28"/>
  <c r="AU19" i="28"/>
  <c r="AU15" i="28"/>
  <c r="AU9" i="28"/>
  <c r="S18" i="29"/>
  <c r="S17" i="29"/>
  <c r="S14" i="29"/>
  <c r="S12" i="29"/>
  <c r="S9" i="29"/>
  <c r="S7" i="29"/>
  <c r="AE17" i="29"/>
  <c r="AE14" i="29"/>
  <c r="AE13" i="29"/>
  <c r="AE7" i="29"/>
  <c r="AE12" i="29"/>
  <c r="AE9" i="29"/>
  <c r="AT9" i="28"/>
  <c r="R10" i="28"/>
  <c r="AE10" i="28"/>
  <c r="S11" i="28"/>
  <c r="AU14" i="28"/>
  <c r="AE15" i="28"/>
  <c r="AU16" i="28"/>
  <c r="F13" i="28"/>
  <c r="F9" i="28"/>
  <c r="R9" i="29"/>
  <c r="AU11" i="29"/>
  <c r="R12" i="29"/>
  <c r="AD16" i="29"/>
  <c r="F7" i="28"/>
  <c r="S10" i="28"/>
  <c r="AH10" i="28"/>
  <c r="S14" i="28"/>
  <c r="S16" i="28"/>
  <c r="AU20" i="28"/>
  <c r="G13" i="28"/>
  <c r="G21" i="28"/>
  <c r="G17" i="28"/>
  <c r="G11" i="28"/>
  <c r="G22" i="28"/>
  <c r="G18" i="28"/>
  <c r="AI13" i="28"/>
  <c r="AI21" i="28"/>
  <c r="AI17" i="28"/>
  <c r="AI18" i="28"/>
  <c r="AI11" i="28"/>
  <c r="AI22" i="28"/>
  <c r="AE10" i="29"/>
  <c r="S15" i="29"/>
  <c r="AE16" i="29"/>
  <c r="AU16" i="29"/>
  <c r="R13" i="28"/>
  <c r="R12" i="28"/>
  <c r="R7" i="28"/>
  <c r="AD15" i="29"/>
  <c r="AD11" i="29"/>
  <c r="AD21" i="29"/>
  <c r="AD13" i="29"/>
  <c r="AD10" i="29"/>
  <c r="AD22" i="29"/>
  <c r="AD18" i="29"/>
  <c r="AD17" i="29"/>
  <c r="AD14" i="29"/>
  <c r="AD7" i="29"/>
  <c r="AT11" i="29"/>
  <c r="AT19" i="29"/>
  <c r="AT15" i="29"/>
  <c r="AT13" i="29"/>
  <c r="AT20" i="29"/>
  <c r="AT14" i="29"/>
  <c r="AT10" i="29"/>
  <c r="AT17" i="29"/>
  <c r="AT7" i="29"/>
  <c r="AD9" i="28"/>
  <c r="R13" i="29"/>
  <c r="R15" i="29"/>
  <c r="R19" i="29"/>
  <c r="R18" i="29"/>
  <c r="R10" i="29"/>
  <c r="R7" i="29"/>
  <c r="R20" i="29"/>
  <c r="R17" i="29"/>
  <c r="R14" i="29"/>
  <c r="R16" i="29"/>
  <c r="AT11" i="28"/>
  <c r="AH12" i="28"/>
  <c r="AD19" i="29"/>
  <c r="B13" i="28"/>
  <c r="AT8" i="28"/>
  <c r="AT12" i="29"/>
  <c r="AT21" i="29"/>
  <c r="AD8" i="28"/>
  <c r="AU8" i="28"/>
  <c r="AE19" i="28"/>
  <c r="S20" i="28"/>
  <c r="AU21" i="28"/>
  <c r="AE22" i="28"/>
  <c r="R8" i="29"/>
  <c r="AT9" i="29"/>
  <c r="S10" i="29"/>
  <c r="AE11" i="29"/>
  <c r="AU12" i="29"/>
  <c r="S16" i="29"/>
  <c r="R8" i="28"/>
  <c r="AE8" i="28"/>
  <c r="R9" i="28"/>
  <c r="AU11" i="28"/>
  <c r="AE16" i="28"/>
  <c r="AU18" i="28"/>
  <c r="S8" i="29"/>
  <c r="AH7" i="28"/>
  <c r="S8" i="28"/>
  <c r="AH8" i="28"/>
  <c r="AD11" i="28"/>
  <c r="AI12" i="28"/>
  <c r="F14" i="28"/>
  <c r="AE14" i="28"/>
  <c r="AI16" i="28"/>
  <c r="S17" i="28"/>
  <c r="AE20" i="28"/>
  <c r="AU22" i="28"/>
  <c r="O13" i="28"/>
  <c r="O22" i="28"/>
  <c r="O18" i="28"/>
  <c r="O14" i="28"/>
  <c r="O10" i="28"/>
  <c r="O19" i="28"/>
  <c r="AA13" i="28"/>
  <c r="AA20" i="28"/>
  <c r="AA16" i="28"/>
  <c r="AA10" i="28"/>
  <c r="AA17" i="28"/>
  <c r="AA21" i="28"/>
  <c r="AQ13" i="28"/>
  <c r="AQ22" i="28"/>
  <c r="AQ18" i="28"/>
  <c r="AQ14" i="28"/>
  <c r="AQ10" i="28"/>
  <c r="AQ19" i="28"/>
  <c r="AD9" i="29"/>
  <c r="R11" i="29"/>
  <c r="AD12" i="29"/>
  <c r="AE15" i="29"/>
  <c r="AT18" i="29"/>
  <c r="AT22" i="29"/>
  <c r="O15" i="29"/>
  <c r="O18" i="29"/>
  <c r="O14" i="29"/>
  <c r="O13" i="29"/>
  <c r="O10" i="29"/>
  <c r="O17" i="29"/>
  <c r="AA15" i="29"/>
  <c r="AA17" i="29"/>
  <c r="AA14" i="29"/>
  <c r="AA10" i="29"/>
  <c r="AQ15" i="29"/>
  <c r="AQ8" i="29"/>
  <c r="AQ14" i="29"/>
  <c r="AQ10" i="29"/>
  <c r="S13" i="29"/>
  <c r="J13" i="28"/>
  <c r="V13" i="28"/>
  <c r="J8" i="28"/>
  <c r="V8" i="28"/>
  <c r="K13" i="28"/>
  <c r="W13" i="28"/>
  <c r="AY13" i="28"/>
  <c r="AM13" i="28"/>
  <c r="K8" i="29"/>
  <c r="W8" i="29"/>
  <c r="AP8" i="29"/>
  <c r="F9" i="29"/>
  <c r="AH9" i="29"/>
  <c r="K11" i="29"/>
  <c r="W11" i="29"/>
  <c r="AM11" i="29"/>
  <c r="AH12" i="29"/>
  <c r="AY12" i="29"/>
  <c r="W15" i="29"/>
  <c r="AP15" i="29"/>
  <c r="AY16" i="29"/>
  <c r="N18" i="29"/>
  <c r="AM13" i="29"/>
  <c r="AX13" i="28"/>
  <c r="AL13" i="28"/>
  <c r="AX9" i="28"/>
  <c r="J11" i="28"/>
  <c r="V11" i="28"/>
  <c r="AL11" i="28"/>
  <c r="N13" i="28"/>
  <c r="Z13" i="28"/>
  <c r="F7" i="29"/>
  <c r="AH7" i="29"/>
  <c r="N8" i="29"/>
  <c r="Z8" i="29"/>
  <c r="AY9" i="29"/>
  <c r="N11" i="29"/>
  <c r="Z11" i="29"/>
  <c r="AP11" i="29"/>
  <c r="F12" i="29"/>
  <c r="N15" i="29"/>
  <c r="Z15" i="29"/>
  <c r="AH18" i="29"/>
  <c r="N19" i="29"/>
  <c r="AP19" i="29"/>
  <c r="Z21" i="29"/>
  <c r="F22" i="29"/>
  <c r="AH22" i="29"/>
  <c r="F13" i="29"/>
  <c r="AH21" i="29"/>
  <c r="B15" i="29"/>
  <c r="B16" i="29" s="1"/>
  <c r="B17" i="29" s="1"/>
  <c r="B18" i="29" s="1"/>
  <c r="B19" i="29" s="1"/>
  <c r="B20" i="29" s="1"/>
  <c r="B21" i="29" s="1"/>
  <c r="B22" i="29" s="1"/>
  <c r="J22" i="28"/>
  <c r="J21" i="28"/>
  <c r="J20" i="28"/>
  <c r="J19" i="28"/>
  <c r="J18" i="28"/>
  <c r="J17" i="28"/>
  <c r="J16" i="28"/>
  <c r="J15" i="28"/>
  <c r="R22" i="28"/>
  <c r="R21" i="28"/>
  <c r="R20" i="28"/>
  <c r="R19" i="28"/>
  <c r="R18" i="28"/>
  <c r="R17" i="28"/>
  <c r="R16" i="28"/>
  <c r="R15" i="28"/>
  <c r="R14" i="28"/>
  <c r="V22" i="28"/>
  <c r="V21" i="28"/>
  <c r="V20" i="28"/>
  <c r="V19" i="28"/>
  <c r="V18" i="28"/>
  <c r="V17" i="28"/>
  <c r="V16" i="28"/>
  <c r="V15" i="28"/>
  <c r="V14" i="28"/>
  <c r="AD22" i="28"/>
  <c r="AD21" i="28"/>
  <c r="AD20" i="28"/>
  <c r="AD19" i="28"/>
  <c r="AD18" i="28"/>
  <c r="AD17" i="28"/>
  <c r="AD16" i="28"/>
  <c r="AD15" i="28"/>
  <c r="AD14" i="28"/>
  <c r="AX22" i="28"/>
  <c r="AL22" i="28"/>
  <c r="AX21" i="28"/>
  <c r="AL21" i="28"/>
  <c r="AX20" i="28"/>
  <c r="AL20" i="28"/>
  <c r="AX19" i="28"/>
  <c r="AL19" i="28"/>
  <c r="AX18" i="28"/>
  <c r="AL18" i="28"/>
  <c r="AX17" i="28"/>
  <c r="AL17" i="28"/>
  <c r="AX16" i="28"/>
  <c r="AL16" i="28"/>
  <c r="AX15" i="28"/>
  <c r="AL15" i="28"/>
  <c r="AX14" i="28"/>
  <c r="AL14" i="28"/>
  <c r="AT22" i="28"/>
  <c r="AT21" i="28"/>
  <c r="AT20" i="28"/>
  <c r="AT19" i="28"/>
  <c r="AT18" i="28"/>
  <c r="AT17" i="28"/>
  <c r="AT16" i="28"/>
  <c r="AT15" i="28"/>
  <c r="AT14" i="28"/>
  <c r="AZ24" i="28"/>
  <c r="G22" i="29"/>
  <c r="G21" i="29"/>
  <c r="G20" i="29"/>
  <c r="G19" i="29"/>
  <c r="AI22" i="29"/>
  <c r="AI21" i="29"/>
  <c r="AI20" i="29"/>
  <c r="AI19" i="29"/>
  <c r="AI18" i="29"/>
  <c r="F22" i="28"/>
  <c r="F21" i="28"/>
  <c r="F20" i="28"/>
  <c r="F19" i="28"/>
  <c r="F18" i="28"/>
  <c r="F17" i="28"/>
  <c r="F16" i="28"/>
  <c r="F15" i="28"/>
  <c r="N22" i="28"/>
  <c r="N21" i="28"/>
  <c r="N20" i="28"/>
  <c r="N19" i="28"/>
  <c r="N18" i="28"/>
  <c r="N17" i="28"/>
  <c r="N16" i="28"/>
  <c r="N15" i="28"/>
  <c r="N14" i="28"/>
  <c r="Z22" i="28"/>
  <c r="Z21" i="28"/>
  <c r="Z20" i="28"/>
  <c r="Z19" i="28"/>
  <c r="Z18" i="28"/>
  <c r="Z17" i="28"/>
  <c r="Z16" i="28"/>
  <c r="Z15" i="28"/>
  <c r="Z14" i="28"/>
  <c r="AH22" i="28"/>
  <c r="AH21" i="28"/>
  <c r="AH20" i="28"/>
  <c r="AH19" i="28"/>
  <c r="AH18" i="28"/>
  <c r="AH17" i="28"/>
  <c r="AH16" i="28"/>
  <c r="AH15" i="28"/>
  <c r="AH14" i="28"/>
  <c r="G8" i="29"/>
  <c r="AI8" i="29"/>
  <c r="G10" i="29"/>
  <c r="AI10" i="29"/>
  <c r="G12" i="29"/>
  <c r="AI12" i="29"/>
  <c r="G15" i="29"/>
  <c r="AI15" i="29"/>
  <c r="G17" i="29"/>
  <c r="AI17" i="29"/>
  <c r="O22" i="29"/>
  <c r="O21" i="29"/>
  <c r="O20" i="29"/>
  <c r="O19" i="29"/>
  <c r="AA22" i="29"/>
  <c r="AA21" i="29"/>
  <c r="AA20" i="29"/>
  <c r="AA19" i="29"/>
  <c r="AA18" i="29"/>
  <c r="AQ22" i="29"/>
  <c r="AQ21" i="29"/>
  <c r="AQ20" i="29"/>
  <c r="AQ19" i="29"/>
  <c r="AQ18" i="29"/>
  <c r="AZ24" i="29"/>
  <c r="K22" i="29"/>
  <c r="K21" i="29"/>
  <c r="K20" i="29"/>
  <c r="K19" i="29"/>
  <c r="S22" i="29"/>
  <c r="S21" i="29"/>
  <c r="S20" i="29"/>
  <c r="S19" i="29"/>
  <c r="W22" i="29"/>
  <c r="W21" i="29"/>
  <c r="W20" i="29"/>
  <c r="W19" i="29"/>
  <c r="W18" i="29"/>
  <c r="AE22" i="29"/>
  <c r="AE21" i="29"/>
  <c r="AE20" i="29"/>
  <c r="AE19" i="29"/>
  <c r="AE18" i="29"/>
  <c r="AY22" i="29"/>
  <c r="AM22" i="29"/>
  <c r="AY21" i="29"/>
  <c r="AM21" i="29"/>
  <c r="AY20" i="29"/>
  <c r="AM20" i="29"/>
  <c r="AY19" i="29"/>
  <c r="AM19" i="29"/>
  <c r="AY18" i="29"/>
  <c r="AM18" i="29"/>
  <c r="AU22" i="29"/>
  <c r="AU21" i="29"/>
  <c r="AU20" i="29"/>
  <c r="AU19" i="29"/>
  <c r="AU18" i="29"/>
  <c r="B14" i="28" l="1"/>
  <c r="B15" i="28" s="1"/>
  <c r="B16" i="28" s="1"/>
  <c r="B17" i="28" s="1"/>
  <c r="B18" i="28" s="1"/>
  <c r="B19" i="28" s="1"/>
  <c r="B20" i="28" s="1"/>
  <c r="B21" i="28" s="1"/>
  <c r="B22" i="28" s="1"/>
  <c r="AT24" i="29"/>
  <c r="AU24" i="29"/>
  <c r="AT24" i="28"/>
  <c r="AU24" i="28"/>
  <c r="AI24" i="28"/>
  <c r="AQ24" i="29"/>
  <c r="AP24" i="29"/>
  <c r="AQ24" i="28"/>
  <c r="AP24" i="28"/>
  <c r="AX24" i="29"/>
  <c r="AL24" i="29"/>
  <c r="AY24" i="29"/>
  <c r="BB11" i="29"/>
  <c r="AM24" i="29"/>
  <c r="AY24" i="28"/>
  <c r="AM24" i="28"/>
  <c r="AX24" i="28"/>
  <c r="AL24" i="28"/>
  <c r="AH24" i="29"/>
  <c r="AD24" i="29"/>
  <c r="AI24" i="29"/>
  <c r="BB9" i="29"/>
  <c r="BB16" i="29"/>
  <c r="BB13" i="29"/>
  <c r="AE24" i="29"/>
  <c r="AH24" i="28"/>
  <c r="BA12" i="28"/>
  <c r="AD24" i="28"/>
  <c r="AE24" i="28"/>
  <c r="BB14" i="29"/>
  <c r="BB18" i="28"/>
  <c r="BA16" i="29"/>
  <c r="V24" i="29"/>
  <c r="BA21" i="29"/>
  <c r="J24" i="29"/>
  <c r="G24" i="28"/>
  <c r="BA11" i="28"/>
  <c r="BB16" i="28"/>
  <c r="BB22" i="28"/>
  <c r="K24" i="28"/>
  <c r="BA7" i="28"/>
  <c r="BA10" i="29"/>
  <c r="BA19" i="29"/>
  <c r="BB7" i="29"/>
  <c r="BA15" i="29"/>
  <c r="BA17" i="29"/>
  <c r="Z24" i="29"/>
  <c r="BA18" i="29"/>
  <c r="AA24" i="29"/>
  <c r="BA10" i="28"/>
  <c r="BB15" i="28"/>
  <c r="BB12" i="28"/>
  <c r="Z24" i="28"/>
  <c r="AA24" i="28"/>
  <c r="BB20" i="28"/>
  <c r="N24" i="29"/>
  <c r="W24" i="28"/>
  <c r="K24" i="29"/>
  <c r="BB19" i="28"/>
  <c r="BA7" i="29"/>
  <c r="BB10" i="28"/>
  <c r="BB8" i="28"/>
  <c r="V24" i="28"/>
  <c r="BB8" i="29"/>
  <c r="BA14" i="29"/>
  <c r="BB15" i="29"/>
  <c r="BA12" i="29"/>
  <c r="BA8" i="28"/>
  <c r="BB14" i="28"/>
  <c r="R24" i="29"/>
  <c r="BA20" i="29"/>
  <c r="S24" i="29"/>
  <c r="BA8" i="29"/>
  <c r="BB12" i="29"/>
  <c r="BB21" i="28"/>
  <c r="O24" i="28"/>
  <c r="BB7" i="28"/>
  <c r="BB9" i="28"/>
  <c r="BB17" i="28"/>
  <c r="S24" i="28"/>
  <c r="N24" i="28"/>
  <c r="BA9" i="29"/>
  <c r="BB13" i="28"/>
  <c r="BA11" i="29"/>
  <c r="BA9" i="28"/>
  <c r="R24" i="28"/>
  <c r="BA13" i="29"/>
  <c r="BB10" i="29"/>
  <c r="J24" i="28"/>
  <c r="BA13" i="28"/>
  <c r="BA22" i="29"/>
  <c r="F24" i="29"/>
  <c r="BB17" i="29"/>
  <c r="BB11" i="28"/>
  <c r="W24" i="29"/>
  <c r="O24" i="29"/>
  <c r="BA15" i="28"/>
  <c r="BA17" i="28"/>
  <c r="BA19" i="28"/>
  <c r="BA21" i="28"/>
  <c r="BB20" i="29"/>
  <c r="BB22" i="29"/>
  <c r="G24" i="29"/>
  <c r="BB18" i="29"/>
  <c r="BA16" i="28"/>
  <c r="BA18" i="28"/>
  <c r="BA20" i="28"/>
  <c r="BA22" i="28"/>
  <c r="BB19" i="29"/>
  <c r="BB21" i="29"/>
  <c r="BA14" i="28"/>
  <c r="F24" i="28"/>
  <c r="BA24" i="29" l="1"/>
  <c r="BB24" i="29"/>
  <c r="BB24" i="28"/>
  <c r="BA24" i="28"/>
  <c r="BC10" i="30" l="1"/>
  <c r="AZ10" i="30"/>
  <c r="AW24" i="27"/>
  <c r="AV24" i="27"/>
  <c r="AU8" i="27"/>
  <c r="AT7" i="27"/>
  <c r="AO24" i="27"/>
  <c r="AQ8" i="27" s="1"/>
  <c r="AP7" i="27"/>
  <c r="AK24" i="27"/>
  <c r="AM9" i="27" s="1"/>
  <c r="AJ24" i="27"/>
  <c r="AL8" i="27" s="1"/>
  <c r="AG24" i="27"/>
  <c r="AY22" i="27" s="1"/>
  <c r="AF24" i="27"/>
  <c r="AX7" i="27" s="1"/>
  <c r="AC24" i="27"/>
  <c r="AE9" i="27" s="1"/>
  <c r="AB24" i="27"/>
  <c r="AD7" i="27" s="1"/>
  <c r="Y24" i="27"/>
  <c r="AA9" i="27" s="1"/>
  <c r="X24" i="27"/>
  <c r="Z7" i="27" s="1"/>
  <c r="U24" i="27"/>
  <c r="W9" i="27" s="1"/>
  <c r="T24" i="27"/>
  <c r="V7" i="27" s="1"/>
  <c r="Q24" i="27"/>
  <c r="S9" i="27" s="1"/>
  <c r="P24" i="27"/>
  <c r="R7" i="27" s="1"/>
  <c r="M24" i="27"/>
  <c r="O9" i="27" s="1"/>
  <c r="L24" i="27"/>
  <c r="N7" i="27" s="1"/>
  <c r="I24" i="27"/>
  <c r="K9" i="27" s="1"/>
  <c r="H24" i="27"/>
  <c r="J7" i="27" s="1"/>
  <c r="E24" i="27"/>
  <c r="G15" i="27" s="1"/>
  <c r="D24" i="27"/>
  <c r="F7" i="27" s="1"/>
  <c r="B8" i="27"/>
  <c r="B9" i="27" s="1"/>
  <c r="B10" i="27" s="1"/>
  <c r="B11" i="27" s="1"/>
  <c r="B12" i="27" s="1"/>
  <c r="B13" i="27" s="1"/>
  <c r="AW24" i="26"/>
  <c r="AV24" i="26"/>
  <c r="AS24" i="26"/>
  <c r="AU18" i="26" s="1"/>
  <c r="AR24" i="26"/>
  <c r="AT21" i="26" s="1"/>
  <c r="AO24" i="26"/>
  <c r="AQ9" i="26" s="1"/>
  <c r="AN24" i="26"/>
  <c r="AP19" i="26" s="1"/>
  <c r="AK24" i="26"/>
  <c r="AM22" i="26" s="1"/>
  <c r="AJ24" i="26"/>
  <c r="AL22" i="26" s="1"/>
  <c r="AG24" i="26"/>
  <c r="AI10" i="26" s="1"/>
  <c r="AF24" i="26"/>
  <c r="AH21" i="26" s="1"/>
  <c r="AC24" i="26"/>
  <c r="AE8" i="26" s="1"/>
  <c r="AB24" i="26"/>
  <c r="AD22" i="26" s="1"/>
  <c r="Y24" i="26"/>
  <c r="AA10" i="26" s="1"/>
  <c r="X24" i="26"/>
  <c r="Z7" i="26" s="1"/>
  <c r="U24" i="26"/>
  <c r="W10" i="26" s="1"/>
  <c r="T24" i="26"/>
  <c r="V20" i="26" s="1"/>
  <c r="Q24" i="26"/>
  <c r="S18" i="26" s="1"/>
  <c r="P24" i="26"/>
  <c r="R16" i="26" s="1"/>
  <c r="M24" i="26"/>
  <c r="O18" i="26" s="1"/>
  <c r="L24" i="26"/>
  <c r="N18" i="26" s="1"/>
  <c r="I24" i="26"/>
  <c r="K12" i="26" s="1"/>
  <c r="H24" i="26"/>
  <c r="J21" i="26" s="1"/>
  <c r="E24" i="26"/>
  <c r="G14" i="26" s="1"/>
  <c r="D24" i="26"/>
  <c r="F17" i="26" s="1"/>
  <c r="AU22" i="26"/>
  <c r="AT22" i="26"/>
  <c r="Z22" i="26"/>
  <c r="F22" i="26"/>
  <c r="V21" i="26"/>
  <c r="F21" i="26"/>
  <c r="F20" i="26"/>
  <c r="AT19" i="26"/>
  <c r="F19" i="26"/>
  <c r="AE18" i="26"/>
  <c r="AD18" i="26"/>
  <c r="V18" i="26"/>
  <c r="J18" i="26"/>
  <c r="F18" i="26"/>
  <c r="AT17" i="26"/>
  <c r="V17" i="26"/>
  <c r="V16" i="26"/>
  <c r="F16" i="26"/>
  <c r="V15" i="26"/>
  <c r="F15" i="26"/>
  <c r="AM14" i="26"/>
  <c r="V14" i="26"/>
  <c r="O14" i="26"/>
  <c r="F14" i="26"/>
  <c r="AL12" i="26"/>
  <c r="V12" i="26"/>
  <c r="F12" i="26"/>
  <c r="V11" i="26"/>
  <c r="F11" i="26"/>
  <c r="AY10" i="26"/>
  <c r="AX10" i="26"/>
  <c r="AU10" i="26"/>
  <c r="AT10" i="26"/>
  <c r="AM10" i="26"/>
  <c r="V10" i="26"/>
  <c r="F10" i="26"/>
  <c r="V9" i="26"/>
  <c r="F9" i="26"/>
  <c r="V8" i="26"/>
  <c r="F8" i="26"/>
  <c r="B8" i="26"/>
  <c r="B9" i="26" s="1"/>
  <c r="B10" i="26" s="1"/>
  <c r="B11" i="26" s="1"/>
  <c r="B12" i="26" s="1"/>
  <c r="B13" i="26" s="1"/>
  <c r="V7" i="26"/>
  <c r="F7" i="26"/>
  <c r="B14" i="26" l="1"/>
  <c r="B15" i="26" s="1"/>
  <c r="B16" i="26" s="1"/>
  <c r="B17" i="26" s="1"/>
  <c r="B18" i="26" s="1"/>
  <c r="B19" i="26" s="1"/>
  <c r="B20" i="26" s="1"/>
  <c r="B21" i="26" s="1"/>
  <c r="B22" i="26" s="1"/>
  <c r="B14" i="27"/>
  <c r="B15" i="27" s="1"/>
  <c r="B16" i="27" s="1"/>
  <c r="B17" i="27" s="1"/>
  <c r="B18" i="27" s="1"/>
  <c r="B19" i="27" s="1"/>
  <c r="B20" i="27" s="1"/>
  <c r="B21" i="27" s="1"/>
  <c r="B22" i="27" s="1"/>
  <c r="G12" i="26"/>
  <c r="G18" i="26"/>
  <c r="AZ26" i="30"/>
  <c r="AM8" i="26"/>
  <c r="AI18" i="26"/>
  <c r="AE12" i="26"/>
  <c r="AH18" i="26"/>
  <c r="AQ22" i="26"/>
  <c r="AQ22" i="27"/>
  <c r="AP14" i="26"/>
  <c r="G8" i="26"/>
  <c r="G10" i="26"/>
  <c r="AH16" i="26"/>
  <c r="AX18" i="26"/>
  <c r="AU7" i="27"/>
  <c r="AX17" i="26"/>
  <c r="AY18" i="26"/>
  <c r="AH12" i="26"/>
  <c r="AH8" i="26"/>
  <c r="AH11" i="26"/>
  <c r="AX16" i="26"/>
  <c r="G22" i="26"/>
  <c r="R10" i="26"/>
  <c r="AI16" i="26"/>
  <c r="AI11" i="26"/>
  <c r="AM12" i="26"/>
  <c r="AY16" i="26"/>
  <c r="V19" i="26"/>
  <c r="V22" i="26"/>
  <c r="AU22" i="27"/>
  <c r="R14" i="26"/>
  <c r="AX11" i="26"/>
  <c r="R15" i="26"/>
  <c r="AU20" i="27"/>
  <c r="AX7" i="26"/>
  <c r="R9" i="26"/>
  <c r="AX19" i="26"/>
  <c r="AU14" i="27"/>
  <c r="AM18" i="26"/>
  <c r="AL11" i="26"/>
  <c r="AL14" i="26"/>
  <c r="AL18" i="26"/>
  <c r="AL19" i="26"/>
  <c r="AL21" i="26"/>
  <c r="AL19" i="27"/>
  <c r="AY7" i="26"/>
  <c r="AI8" i="26"/>
  <c r="AY11" i="26"/>
  <c r="AI12" i="26"/>
  <c r="AI14" i="26"/>
  <c r="AY14" i="26"/>
  <c r="AY20" i="26"/>
  <c r="AD12" i="26"/>
  <c r="AE7" i="27"/>
  <c r="AD21" i="27"/>
  <c r="AD19" i="27"/>
  <c r="O7" i="27"/>
  <c r="W12" i="26"/>
  <c r="W14" i="26"/>
  <c r="W22" i="26"/>
  <c r="S20" i="26"/>
  <c r="AH9" i="26"/>
  <c r="AQ14" i="26"/>
  <c r="AA7" i="26"/>
  <c r="AE10" i="26"/>
  <c r="AT14" i="26"/>
  <c r="AX15" i="26"/>
  <c r="K18" i="26"/>
  <c r="AD19" i="26"/>
  <c r="AH20" i="26"/>
  <c r="R22" i="26"/>
  <c r="AI22" i="26"/>
  <c r="G7" i="27"/>
  <c r="AH21" i="27"/>
  <c r="K9" i="26"/>
  <c r="K22" i="26"/>
  <c r="AQ8" i="26"/>
  <c r="N19" i="26"/>
  <c r="N22" i="26"/>
  <c r="AE22" i="26"/>
  <c r="AX22" i="26"/>
  <c r="AT8" i="26"/>
  <c r="AD10" i="26"/>
  <c r="AH15" i="26"/>
  <c r="AD20" i="26"/>
  <c r="AD21" i="26"/>
  <c r="AH22" i="26"/>
  <c r="AY22" i="26"/>
  <c r="K8" i="26"/>
  <c r="AU8" i="26"/>
  <c r="AI9" i="26"/>
  <c r="AH7" i="26"/>
  <c r="AX8" i="26"/>
  <c r="AX9" i="26"/>
  <c r="AH10" i="26"/>
  <c r="R11" i="26"/>
  <c r="AE14" i="26"/>
  <c r="AU14" i="26"/>
  <c r="R18" i="26"/>
  <c r="AT18" i="26"/>
  <c r="AH19" i="26"/>
  <c r="AI20" i="26"/>
  <c r="S22" i="26"/>
  <c r="AH19" i="27"/>
  <c r="AX22" i="27"/>
  <c r="N21" i="26"/>
  <c r="O22" i="26"/>
  <c r="AI7" i="26"/>
  <c r="AY8" i="26"/>
  <c r="AY9" i="26"/>
  <c r="AX12" i="26"/>
  <c r="AH14" i="26"/>
  <c r="AX14" i="26"/>
  <c r="AH17" i="26"/>
  <c r="AX20" i="26"/>
  <c r="AX21" i="26"/>
  <c r="AL21" i="27"/>
  <c r="AX20" i="27"/>
  <c r="W7" i="27"/>
  <c r="S7" i="27"/>
  <c r="AQ11" i="26"/>
  <c r="AA12" i="26"/>
  <c r="AA14" i="26"/>
  <c r="Z17" i="26"/>
  <c r="AP20" i="26"/>
  <c r="Z17" i="27"/>
  <c r="AD17" i="27"/>
  <c r="AH17" i="27"/>
  <c r="AL17" i="27"/>
  <c r="AQ18" i="27"/>
  <c r="AU18" i="27"/>
  <c r="AX18" i="27"/>
  <c r="Z21" i="27"/>
  <c r="J19" i="26"/>
  <c r="AQ7" i="26"/>
  <c r="Z8" i="26"/>
  <c r="AA9" i="26"/>
  <c r="J10" i="26"/>
  <c r="K11" i="26"/>
  <c r="AQ18" i="26"/>
  <c r="J20" i="26"/>
  <c r="AQ20" i="26"/>
  <c r="AQ7" i="27"/>
  <c r="Z15" i="27"/>
  <c r="AD15" i="27"/>
  <c r="AH15" i="27"/>
  <c r="AL15" i="27"/>
  <c r="AQ16" i="27"/>
  <c r="AU16" i="27"/>
  <c r="AX16" i="27"/>
  <c r="AP12" i="26"/>
  <c r="Z19" i="27"/>
  <c r="AA8" i="26"/>
  <c r="K10" i="26"/>
  <c r="AP16" i="26"/>
  <c r="AA18" i="26"/>
  <c r="K20" i="26"/>
  <c r="AQ14" i="27"/>
  <c r="AX14" i="27"/>
  <c r="AP22" i="26"/>
  <c r="AA16" i="26"/>
  <c r="AA22" i="26"/>
  <c r="AQ10" i="26"/>
  <c r="K14" i="26"/>
  <c r="J16" i="26"/>
  <c r="AQ16" i="26"/>
  <c r="Z12" i="27"/>
  <c r="AD12" i="27"/>
  <c r="AH12" i="27"/>
  <c r="AL12" i="27"/>
  <c r="AQ13" i="27"/>
  <c r="AU13" i="27"/>
  <c r="AX13" i="27"/>
  <c r="J22" i="26"/>
  <c r="AA11" i="26"/>
  <c r="K16" i="26"/>
  <c r="AA20" i="26"/>
  <c r="Z10" i="27"/>
  <c r="AD10" i="27"/>
  <c r="AH10" i="27"/>
  <c r="AL10" i="27"/>
  <c r="AQ11" i="27"/>
  <c r="AU11" i="27"/>
  <c r="AX11" i="27"/>
  <c r="AQ20" i="27"/>
  <c r="K7" i="26"/>
  <c r="J9" i="26"/>
  <c r="J15" i="26"/>
  <c r="Z8" i="27"/>
  <c r="AD8" i="27"/>
  <c r="AH8" i="27"/>
  <c r="AQ9" i="27"/>
  <c r="AU9" i="27"/>
  <c r="AX9" i="27"/>
  <c r="V21" i="27"/>
  <c r="V17" i="27"/>
  <c r="V10" i="27"/>
  <c r="V19" i="27"/>
  <c r="V15" i="27"/>
  <c r="V12" i="27"/>
  <c r="V8" i="27"/>
  <c r="AT13" i="26"/>
  <c r="AT7" i="26"/>
  <c r="AT9" i="26"/>
  <c r="AT11" i="26"/>
  <c r="AT12" i="26"/>
  <c r="AT15" i="26"/>
  <c r="AT16" i="26"/>
  <c r="AT20" i="26"/>
  <c r="AU13" i="26"/>
  <c r="AP13" i="26"/>
  <c r="AP7" i="26"/>
  <c r="AP8" i="26"/>
  <c r="AP9" i="26"/>
  <c r="AP10" i="26"/>
  <c r="AP11" i="26"/>
  <c r="AP15" i="26"/>
  <c r="AP17" i="26"/>
  <c r="AP18" i="26"/>
  <c r="AP21" i="26"/>
  <c r="AQ13" i="26"/>
  <c r="AL13" i="26"/>
  <c r="AL7" i="26"/>
  <c r="AL8" i="26"/>
  <c r="AL9" i="26"/>
  <c r="AL10" i="26"/>
  <c r="AL15" i="26"/>
  <c r="AL16" i="26"/>
  <c r="AL17" i="26"/>
  <c r="AL20" i="26"/>
  <c r="AM13" i="26"/>
  <c r="AX13" i="26"/>
  <c r="AH13" i="26"/>
  <c r="AY13" i="26"/>
  <c r="AI13" i="26"/>
  <c r="AD13" i="26"/>
  <c r="AD7" i="26"/>
  <c r="AD8" i="26"/>
  <c r="AD9" i="26"/>
  <c r="AD11" i="26"/>
  <c r="AD14" i="26"/>
  <c r="AD15" i="26"/>
  <c r="AD16" i="26"/>
  <c r="AD17" i="26"/>
  <c r="AE13" i="26"/>
  <c r="Z13" i="26"/>
  <c r="Z9" i="26"/>
  <c r="Z10" i="26"/>
  <c r="Z11" i="26"/>
  <c r="Z12" i="26"/>
  <c r="Z14" i="26"/>
  <c r="Z15" i="26"/>
  <c r="Z16" i="26"/>
  <c r="Z18" i="26"/>
  <c r="Z19" i="26"/>
  <c r="Z20" i="26"/>
  <c r="Z21" i="26"/>
  <c r="AA13" i="26"/>
  <c r="W13" i="26"/>
  <c r="W8" i="26"/>
  <c r="W18" i="26"/>
  <c r="V13" i="26"/>
  <c r="AT22" i="27"/>
  <c r="AT20" i="27"/>
  <c r="AT18" i="27"/>
  <c r="AT16" i="27"/>
  <c r="AT14" i="27"/>
  <c r="AT13" i="27"/>
  <c r="AT11" i="27"/>
  <c r="AT9" i="27"/>
  <c r="AT21" i="27"/>
  <c r="AT19" i="27"/>
  <c r="AT17" i="27"/>
  <c r="AT15" i="27"/>
  <c r="AT12" i="27"/>
  <c r="AT10" i="27"/>
  <c r="AT8" i="27"/>
  <c r="AU21" i="27"/>
  <c r="AU19" i="27"/>
  <c r="AU17" i="27"/>
  <c r="AU15" i="27"/>
  <c r="AU12" i="27"/>
  <c r="AU10" i="27"/>
  <c r="AP22" i="27"/>
  <c r="AP20" i="27"/>
  <c r="AP18" i="27"/>
  <c r="AP16" i="27"/>
  <c r="AP14" i="27"/>
  <c r="AP13" i="27"/>
  <c r="AP11" i="27"/>
  <c r="AP9" i="27"/>
  <c r="AP21" i="27"/>
  <c r="AP19" i="27"/>
  <c r="AP17" i="27"/>
  <c r="AP15" i="27"/>
  <c r="AP12" i="27"/>
  <c r="AP10" i="27"/>
  <c r="AP8" i="27"/>
  <c r="AQ21" i="27"/>
  <c r="AQ19" i="27"/>
  <c r="AQ17" i="27"/>
  <c r="AQ15" i="27"/>
  <c r="AQ12" i="27"/>
  <c r="AQ10" i="27"/>
  <c r="AM21" i="27"/>
  <c r="AM19" i="27"/>
  <c r="AM17" i="27"/>
  <c r="AM15" i="27"/>
  <c r="AM12" i="27"/>
  <c r="AM10" i="27"/>
  <c r="AM8" i="27"/>
  <c r="AM7" i="27"/>
  <c r="AL22" i="27"/>
  <c r="AL20" i="27"/>
  <c r="AL18" i="27"/>
  <c r="AL16" i="27"/>
  <c r="AL14" i="27"/>
  <c r="AL13" i="27"/>
  <c r="AL11" i="27"/>
  <c r="AL9" i="27"/>
  <c r="AM22" i="27"/>
  <c r="AM20" i="27"/>
  <c r="AM18" i="27"/>
  <c r="AM16" i="27"/>
  <c r="AM14" i="27"/>
  <c r="AM13" i="27"/>
  <c r="AM11" i="27"/>
  <c r="AL7" i="27"/>
  <c r="AI21" i="27"/>
  <c r="AI19" i="27"/>
  <c r="AI17" i="27"/>
  <c r="AI15" i="27"/>
  <c r="AI12" i="27"/>
  <c r="AI10" i="27"/>
  <c r="AI8" i="27"/>
  <c r="AY21" i="27"/>
  <c r="AY19" i="27"/>
  <c r="AY17" i="27"/>
  <c r="AY15" i="27"/>
  <c r="AY12" i="27"/>
  <c r="AY10" i="27"/>
  <c r="AY8" i="27"/>
  <c r="AI7" i="27"/>
  <c r="AY7" i="27"/>
  <c r="AH22" i="27"/>
  <c r="AH20" i="27"/>
  <c r="AH18" i="27"/>
  <c r="AH16" i="27"/>
  <c r="AH14" i="27"/>
  <c r="AH13" i="27"/>
  <c r="AH11" i="27"/>
  <c r="AH9" i="27"/>
  <c r="AI22" i="27"/>
  <c r="AI20" i="27"/>
  <c r="AI18" i="27"/>
  <c r="AI16" i="27"/>
  <c r="AI14" i="27"/>
  <c r="AI13" i="27"/>
  <c r="AI11" i="27"/>
  <c r="AI9" i="27"/>
  <c r="AX21" i="27"/>
  <c r="AX19" i="27"/>
  <c r="AX17" i="27"/>
  <c r="AX15" i="27"/>
  <c r="AX12" i="27"/>
  <c r="AX10" i="27"/>
  <c r="AX8" i="27"/>
  <c r="AY20" i="27"/>
  <c r="AY18" i="27"/>
  <c r="AY16" i="27"/>
  <c r="AY14" i="27"/>
  <c r="AY13" i="27"/>
  <c r="AY11" i="27"/>
  <c r="AY9" i="27"/>
  <c r="AE21" i="27"/>
  <c r="AE19" i="27"/>
  <c r="AE17" i="27"/>
  <c r="AE15" i="27"/>
  <c r="AE12" i="27"/>
  <c r="AE10" i="27"/>
  <c r="AE8" i="27"/>
  <c r="AD22" i="27"/>
  <c r="AD20" i="27"/>
  <c r="AD18" i="27"/>
  <c r="AD16" i="27"/>
  <c r="AD14" i="27"/>
  <c r="AD13" i="27"/>
  <c r="AD11" i="27"/>
  <c r="AD9" i="27"/>
  <c r="AE22" i="27"/>
  <c r="AE20" i="27"/>
  <c r="AE18" i="27"/>
  <c r="AE16" i="27"/>
  <c r="AE14" i="27"/>
  <c r="AE13" i="27"/>
  <c r="AE11" i="27"/>
  <c r="AA21" i="27"/>
  <c r="AA19" i="27"/>
  <c r="AA17" i="27"/>
  <c r="AA15" i="27"/>
  <c r="AA12" i="27"/>
  <c r="AA10" i="27"/>
  <c r="AA8" i="27"/>
  <c r="AA7" i="27"/>
  <c r="Z22" i="27"/>
  <c r="Z20" i="27"/>
  <c r="Z18" i="27"/>
  <c r="Z16" i="27"/>
  <c r="Z14" i="27"/>
  <c r="Z13" i="27"/>
  <c r="Z11" i="27"/>
  <c r="Z9" i="27"/>
  <c r="AA22" i="27"/>
  <c r="AA20" i="27"/>
  <c r="AA18" i="27"/>
  <c r="AA16" i="27"/>
  <c r="AA14" i="27"/>
  <c r="AA13" i="27"/>
  <c r="AA11" i="27"/>
  <c r="W21" i="27"/>
  <c r="W19" i="27"/>
  <c r="W17" i="27"/>
  <c r="W15" i="27"/>
  <c r="W12" i="27"/>
  <c r="W10" i="27"/>
  <c r="W8" i="27"/>
  <c r="V22" i="27"/>
  <c r="V20" i="27"/>
  <c r="V18" i="27"/>
  <c r="V16" i="27"/>
  <c r="V14" i="27"/>
  <c r="V13" i="27"/>
  <c r="V11" i="27"/>
  <c r="V9" i="27"/>
  <c r="W22" i="27"/>
  <c r="W20" i="27"/>
  <c r="W18" i="27"/>
  <c r="W16" i="27"/>
  <c r="W14" i="27"/>
  <c r="W13" i="27"/>
  <c r="W11" i="27"/>
  <c r="R21" i="27"/>
  <c r="R19" i="27"/>
  <c r="R17" i="27"/>
  <c r="R15" i="27"/>
  <c r="R12" i="27"/>
  <c r="R10" i="27"/>
  <c r="R8" i="27"/>
  <c r="S21" i="27"/>
  <c r="S19" i="27"/>
  <c r="S17" i="27"/>
  <c r="S15" i="27"/>
  <c r="S12" i="27"/>
  <c r="S10" i="27"/>
  <c r="S8" i="27"/>
  <c r="R22" i="27"/>
  <c r="R20" i="27"/>
  <c r="R18" i="27"/>
  <c r="R16" i="27"/>
  <c r="R14" i="27"/>
  <c r="R13" i="27"/>
  <c r="R11" i="27"/>
  <c r="R9" i="27"/>
  <c r="S22" i="27"/>
  <c r="S20" i="27"/>
  <c r="S18" i="27"/>
  <c r="S16" i="27"/>
  <c r="S14" i="27"/>
  <c r="S13" i="27"/>
  <c r="S11" i="27"/>
  <c r="N15" i="27"/>
  <c r="N8" i="27"/>
  <c r="N19" i="27"/>
  <c r="N12" i="27"/>
  <c r="N21" i="27"/>
  <c r="N17" i="27"/>
  <c r="N10" i="27"/>
  <c r="O21" i="27"/>
  <c r="O19" i="27"/>
  <c r="O17" i="27"/>
  <c r="O15" i="27"/>
  <c r="O12" i="27"/>
  <c r="O10" i="27"/>
  <c r="O8" i="27"/>
  <c r="N22" i="27"/>
  <c r="N20" i="27"/>
  <c r="N18" i="27"/>
  <c r="N16" i="27"/>
  <c r="N14" i="27"/>
  <c r="N13" i="27"/>
  <c r="N11" i="27"/>
  <c r="N9" i="27"/>
  <c r="O22" i="27"/>
  <c r="O20" i="27"/>
  <c r="O18" i="27"/>
  <c r="O16" i="27"/>
  <c r="O14" i="27"/>
  <c r="O13" i="27"/>
  <c r="O11" i="27"/>
  <c r="S8" i="26"/>
  <c r="S14" i="26"/>
  <c r="S16" i="26"/>
  <c r="S7" i="26"/>
  <c r="S9" i="26"/>
  <c r="S10" i="26"/>
  <c r="S11" i="26"/>
  <c r="S12" i="26"/>
  <c r="R13" i="26"/>
  <c r="R7" i="26"/>
  <c r="R8" i="26"/>
  <c r="R12" i="26"/>
  <c r="R17" i="26"/>
  <c r="R19" i="26"/>
  <c r="R20" i="26"/>
  <c r="R21" i="26"/>
  <c r="S13" i="26"/>
  <c r="O8" i="26"/>
  <c r="O10" i="26"/>
  <c r="O12" i="26"/>
  <c r="J11" i="27"/>
  <c r="J20" i="27"/>
  <c r="J16" i="27"/>
  <c r="J9" i="27"/>
  <c r="J22" i="27"/>
  <c r="J18" i="27"/>
  <c r="J14" i="27"/>
  <c r="K21" i="27"/>
  <c r="K17" i="27"/>
  <c r="K10" i="27"/>
  <c r="K19" i="27"/>
  <c r="K15" i="27"/>
  <c r="K12" i="27"/>
  <c r="K8" i="27"/>
  <c r="K7" i="27"/>
  <c r="J12" i="27"/>
  <c r="J10" i="27"/>
  <c r="J8" i="27"/>
  <c r="J13" i="27"/>
  <c r="J21" i="27"/>
  <c r="J19" i="27"/>
  <c r="J17" i="27"/>
  <c r="J15" i="27"/>
  <c r="K22" i="27"/>
  <c r="K20" i="27"/>
  <c r="K18" i="27"/>
  <c r="K16" i="27"/>
  <c r="K14" i="27"/>
  <c r="K13" i="27"/>
  <c r="K11" i="27"/>
  <c r="N8" i="26"/>
  <c r="N7" i="26"/>
  <c r="N10" i="26"/>
  <c r="N14" i="26"/>
  <c r="N15" i="26"/>
  <c r="N17" i="26"/>
  <c r="J7" i="26"/>
  <c r="J8" i="26"/>
  <c r="J11" i="26"/>
  <c r="J12" i="26"/>
  <c r="J14" i="26"/>
  <c r="J17" i="26"/>
  <c r="O13" i="26"/>
  <c r="N12" i="26"/>
  <c r="N13" i="26"/>
  <c r="N9" i="26"/>
  <c r="N11" i="26"/>
  <c r="N16" i="26"/>
  <c r="N20" i="26"/>
  <c r="K13" i="26"/>
  <c r="J13" i="26"/>
  <c r="F9" i="27"/>
  <c r="G13" i="26"/>
  <c r="F13" i="26"/>
  <c r="F11" i="27"/>
  <c r="G9" i="27"/>
  <c r="G22" i="27"/>
  <c r="G18" i="27"/>
  <c r="G14" i="27"/>
  <c r="G11" i="27"/>
  <c r="G20" i="27"/>
  <c r="G16" i="27"/>
  <c r="F18" i="27"/>
  <c r="F14" i="27"/>
  <c r="F21" i="27"/>
  <c r="F8" i="27"/>
  <c r="F10" i="27"/>
  <c r="F12" i="27"/>
  <c r="F16" i="27"/>
  <c r="F13" i="27"/>
  <c r="G12" i="27"/>
  <c r="G10" i="27"/>
  <c r="G8" i="27"/>
  <c r="G13" i="27"/>
  <c r="G21" i="27"/>
  <c r="G19" i="27"/>
  <c r="G17" i="27"/>
  <c r="F19" i="27"/>
  <c r="F17" i="27"/>
  <c r="F15" i="27"/>
  <c r="F22" i="27"/>
  <c r="F20" i="27"/>
  <c r="AH7" i="27"/>
  <c r="G21" i="26"/>
  <c r="G19" i="26"/>
  <c r="G17" i="26"/>
  <c r="G15" i="26"/>
  <c r="O21" i="26"/>
  <c r="O19" i="26"/>
  <c r="O17" i="26"/>
  <c r="O15" i="26"/>
  <c r="W21" i="26"/>
  <c r="W19" i="26"/>
  <c r="W17" i="26"/>
  <c r="W15" i="26"/>
  <c r="AE21" i="26"/>
  <c r="AE19" i="26"/>
  <c r="AE17" i="26"/>
  <c r="AE15" i="26"/>
  <c r="AM21" i="26"/>
  <c r="AM19" i="26"/>
  <c r="AM17" i="26"/>
  <c r="AM15" i="26"/>
  <c r="AU21" i="26"/>
  <c r="AU19" i="26"/>
  <c r="AU17" i="26"/>
  <c r="AU15" i="26"/>
  <c r="AU12" i="26"/>
  <c r="G7" i="26"/>
  <c r="O7" i="26"/>
  <c r="W7" i="26"/>
  <c r="AE7" i="26"/>
  <c r="AM7" i="26"/>
  <c r="AU7" i="26"/>
  <c r="G9" i="26"/>
  <c r="O9" i="26"/>
  <c r="W9" i="26"/>
  <c r="AE9" i="26"/>
  <c r="AM9" i="26"/>
  <c r="AU9" i="26"/>
  <c r="G11" i="26"/>
  <c r="O11" i="26"/>
  <c r="W11" i="26"/>
  <c r="AE11" i="26"/>
  <c r="AM11" i="26"/>
  <c r="AU11" i="26"/>
  <c r="G16" i="26"/>
  <c r="O16" i="26"/>
  <c r="W16" i="26"/>
  <c r="AE16" i="26"/>
  <c r="AM16" i="26"/>
  <c r="AU16" i="26"/>
  <c r="G20" i="26"/>
  <c r="O20" i="26"/>
  <c r="W20" i="26"/>
  <c r="AE20" i="26"/>
  <c r="AM20" i="26"/>
  <c r="AU20" i="26"/>
  <c r="K21" i="26"/>
  <c r="K19" i="26"/>
  <c r="K17" i="26"/>
  <c r="K15" i="26"/>
  <c r="S21" i="26"/>
  <c r="S19" i="26"/>
  <c r="S17" i="26"/>
  <c r="S15" i="26"/>
  <c r="AA21" i="26"/>
  <c r="AA19" i="26"/>
  <c r="AA17" i="26"/>
  <c r="AA15" i="26"/>
  <c r="AY21" i="26"/>
  <c r="AI21" i="26"/>
  <c r="AY19" i="26"/>
  <c r="AI19" i="26"/>
  <c r="AY17" i="26"/>
  <c r="AI17" i="26"/>
  <c r="AY15" i="26"/>
  <c r="AI15" i="26"/>
  <c r="AY12" i="26"/>
  <c r="AQ21" i="26"/>
  <c r="AQ19" i="26"/>
  <c r="AQ17" i="26"/>
  <c r="AQ15" i="26"/>
  <c r="AQ12" i="26"/>
  <c r="BA24" i="25"/>
  <c r="AZ24" i="25"/>
  <c r="AW24" i="25"/>
  <c r="AV24" i="25"/>
  <c r="AS24" i="25"/>
  <c r="AR24" i="25"/>
  <c r="AO24" i="25"/>
  <c r="AQ21" i="25" s="1"/>
  <c r="AN24" i="25"/>
  <c r="BB22" i="25" s="1"/>
  <c r="AK24" i="25"/>
  <c r="AM22" i="25" s="1"/>
  <c r="AJ24" i="25"/>
  <c r="AL20" i="25" s="1"/>
  <c r="AG24" i="25"/>
  <c r="AI21" i="25" s="1"/>
  <c r="AF24" i="25"/>
  <c r="AH9" i="25" s="1"/>
  <c r="AC24" i="25"/>
  <c r="AE19" i="25" s="1"/>
  <c r="AB24" i="25"/>
  <c r="AD21" i="25" s="1"/>
  <c r="Y24" i="25"/>
  <c r="AA21" i="25" s="1"/>
  <c r="X24" i="25"/>
  <c r="Z22" i="25" s="1"/>
  <c r="U24" i="25"/>
  <c r="W21" i="25" s="1"/>
  <c r="T24" i="25"/>
  <c r="V22" i="25" s="1"/>
  <c r="Q24" i="25"/>
  <c r="S22" i="25" s="1"/>
  <c r="P24" i="25"/>
  <c r="R22" i="25" s="1"/>
  <c r="M24" i="25"/>
  <c r="O17" i="25" s="1"/>
  <c r="L24" i="25"/>
  <c r="N22" i="25" s="1"/>
  <c r="I24" i="25"/>
  <c r="K20" i="25" s="1"/>
  <c r="H24" i="25"/>
  <c r="J8" i="25" s="1"/>
  <c r="E24" i="25"/>
  <c r="G17" i="25" s="1"/>
  <c r="D24" i="25"/>
  <c r="F22" i="25" s="1"/>
  <c r="BD22" i="25"/>
  <c r="AL22" i="25"/>
  <c r="AE22" i="25"/>
  <c r="O22" i="25"/>
  <c r="BD21" i="25"/>
  <c r="BB21" i="25"/>
  <c r="AM21" i="25"/>
  <c r="AE21" i="25"/>
  <c r="G21" i="25"/>
  <c r="BD20" i="25"/>
  <c r="AP20" i="25"/>
  <c r="AE20" i="25"/>
  <c r="O20" i="25"/>
  <c r="G20" i="25"/>
  <c r="BD19" i="25"/>
  <c r="AX19" i="25"/>
  <c r="AP19" i="25"/>
  <c r="O19" i="25"/>
  <c r="J19" i="25"/>
  <c r="BD18" i="25"/>
  <c r="AY18" i="25"/>
  <c r="AT18" i="25"/>
  <c r="AE18" i="25"/>
  <c r="O18" i="25"/>
  <c r="BD17" i="25"/>
  <c r="AT17" i="25"/>
  <c r="AM17" i="25"/>
  <c r="AE17" i="25"/>
  <c r="AD17" i="25"/>
  <c r="BD16" i="25"/>
  <c r="AX16" i="25"/>
  <c r="O16" i="25"/>
  <c r="BD15" i="25"/>
  <c r="AX15" i="25"/>
  <c r="AE15" i="25"/>
  <c r="O15" i="25"/>
  <c r="N15" i="25"/>
  <c r="G15" i="25"/>
  <c r="BD14" i="25"/>
  <c r="BB14" i="25"/>
  <c r="AT14" i="25"/>
  <c r="AE14" i="25"/>
  <c r="Z14" i="25"/>
  <c r="O14" i="25"/>
  <c r="K14" i="25"/>
  <c r="G14" i="25"/>
  <c r="BD13" i="25"/>
  <c r="BB13" i="25"/>
  <c r="AE13" i="25"/>
  <c r="O13" i="25"/>
  <c r="N13" i="25"/>
  <c r="K13" i="25"/>
  <c r="J13" i="25"/>
  <c r="G13" i="25"/>
  <c r="BD12" i="25"/>
  <c r="AQ12" i="25"/>
  <c r="AE12" i="25"/>
  <c r="O12" i="25"/>
  <c r="BD11" i="25"/>
  <c r="BB11" i="25"/>
  <c r="AE11" i="25"/>
  <c r="V11" i="25"/>
  <c r="O11" i="25"/>
  <c r="BD10" i="25"/>
  <c r="AQ10" i="25"/>
  <c r="AL10" i="25"/>
  <c r="AI10" i="25"/>
  <c r="AE10" i="25"/>
  <c r="O10" i="25"/>
  <c r="G10" i="25"/>
  <c r="BD9" i="25"/>
  <c r="AP9" i="25"/>
  <c r="AE9" i="25"/>
  <c r="AD9" i="25"/>
  <c r="O9" i="25"/>
  <c r="BD8" i="25"/>
  <c r="BB8" i="25"/>
  <c r="AM8" i="25"/>
  <c r="AE8" i="25"/>
  <c r="O8" i="25"/>
  <c r="B8" i="25"/>
  <c r="B9" i="25" s="1"/>
  <c r="B10" i="25" s="1"/>
  <c r="B11" i="25" s="1"/>
  <c r="B12" i="25" s="1"/>
  <c r="B13" i="25" s="1"/>
  <c r="BD7" i="25"/>
  <c r="BB7" i="25"/>
  <c r="AM7" i="25"/>
  <c r="AE7" i="25"/>
  <c r="S7" i="25"/>
  <c r="O7" i="25"/>
  <c r="J7" i="25"/>
  <c r="B14" i="25" l="1"/>
  <c r="B15" i="25" s="1"/>
  <c r="B16" i="25" s="1"/>
  <c r="B17" i="25" s="1"/>
  <c r="B18" i="25" s="1"/>
  <c r="B19" i="25" s="1"/>
  <c r="B20" i="25" s="1"/>
  <c r="B21" i="25" s="1"/>
  <c r="B22" i="25" s="1"/>
  <c r="F7" i="25"/>
  <c r="V7" i="25"/>
  <c r="AL7" i="25"/>
  <c r="AP7" i="25"/>
  <c r="AL8" i="25"/>
  <c r="AP8" i="25"/>
  <c r="Z9" i="25"/>
  <c r="AT9" i="25"/>
  <c r="F10" i="25"/>
  <c r="J10" i="25"/>
  <c r="Z10" i="25"/>
  <c r="AP10" i="25"/>
  <c r="BB10" i="25"/>
  <c r="Z11" i="25"/>
  <c r="AP11" i="25"/>
  <c r="Z12" i="25"/>
  <c r="AP12" i="25"/>
  <c r="AT12" i="25"/>
  <c r="AX13" i="25"/>
  <c r="J14" i="25"/>
  <c r="AX14" i="25"/>
  <c r="J15" i="25"/>
  <c r="AP15" i="25"/>
  <c r="BB15" i="25"/>
  <c r="BB16" i="25"/>
  <c r="J17" i="25"/>
  <c r="AP17" i="25"/>
  <c r="BB17" i="25"/>
  <c r="J18" i="25"/>
  <c r="AX18" i="25"/>
  <c r="AT19" i="25"/>
  <c r="J20" i="25"/>
  <c r="AX20" i="25"/>
  <c r="F21" i="25"/>
  <c r="J21" i="25"/>
  <c r="N12" i="25"/>
  <c r="S10" i="25"/>
  <c r="S11" i="25"/>
  <c r="W7" i="25"/>
  <c r="W9" i="25"/>
  <c r="W10" i="25"/>
  <c r="W11" i="25"/>
  <c r="W12" i="25"/>
  <c r="Z7" i="25"/>
  <c r="Z13" i="25"/>
  <c r="Z18" i="25"/>
  <c r="Z21" i="25"/>
  <c r="AY15" i="25"/>
  <c r="AP24" i="27"/>
  <c r="AT24" i="27"/>
  <c r="AU24" i="27"/>
  <c r="AU24" i="26"/>
  <c r="AT24" i="26"/>
  <c r="AQ24" i="26"/>
  <c r="AP24" i="26"/>
  <c r="AQ24" i="27"/>
  <c r="AP21" i="25"/>
  <c r="K8" i="25"/>
  <c r="N9" i="25"/>
  <c r="AA10" i="25"/>
  <c r="AY10" i="25"/>
  <c r="AU11" i="25"/>
  <c r="AU12" i="25"/>
  <c r="AD15" i="25"/>
  <c r="BC15" i="25"/>
  <c r="AL17" i="25"/>
  <c r="AD18" i="25"/>
  <c r="F19" i="25"/>
  <c r="AY21" i="25"/>
  <c r="AQ22" i="25"/>
  <c r="AY13" i="25"/>
  <c r="AQ7" i="25"/>
  <c r="AY11" i="25"/>
  <c r="BC14" i="25"/>
  <c r="AX24" i="26"/>
  <c r="AU10" i="25"/>
  <c r="AY16" i="25"/>
  <c r="BC17" i="25"/>
  <c r="AQ19" i="25"/>
  <c r="N8" i="25"/>
  <c r="AQ8" i="25"/>
  <c r="AQ9" i="25"/>
  <c r="AD10" i="25"/>
  <c r="AY12" i="25"/>
  <c r="BC13" i="25"/>
  <c r="AA14" i="25"/>
  <c r="BC16" i="25"/>
  <c r="G18" i="25"/>
  <c r="G19" i="25"/>
  <c r="AQ20" i="25"/>
  <c r="K21" i="25"/>
  <c r="BC22" i="25"/>
  <c r="G7" i="25"/>
  <c r="AU7" i="25"/>
  <c r="AU8" i="25"/>
  <c r="V9" i="25"/>
  <c r="K10" i="25"/>
  <c r="BC10" i="25"/>
  <c r="AA11" i="25"/>
  <c r="AA12" i="25"/>
  <c r="BC12" i="25"/>
  <c r="AD13" i="25"/>
  <c r="AD14" i="25"/>
  <c r="AL15" i="25"/>
  <c r="N16" i="25"/>
  <c r="AQ18" i="25"/>
  <c r="AY19" i="25"/>
  <c r="AU20" i="25"/>
  <c r="O21" i="25"/>
  <c r="BC21" i="25"/>
  <c r="Z24" i="26"/>
  <c r="K9" i="25"/>
  <c r="AQ11" i="25"/>
  <c r="AY14" i="25"/>
  <c r="AA18" i="25"/>
  <c r="AY7" i="25"/>
  <c r="AA8" i="25"/>
  <c r="AY8" i="25"/>
  <c r="AD11" i="25"/>
  <c r="BC11" i="25"/>
  <c r="AD12" i="25"/>
  <c r="AQ17" i="25"/>
  <c r="K18" i="25"/>
  <c r="K19" i="25"/>
  <c r="K7" i="25"/>
  <c r="AD7" i="25"/>
  <c r="AD8" i="25"/>
  <c r="K17" i="25"/>
  <c r="AA7" i="25"/>
  <c r="AU9" i="25"/>
  <c r="AY9" i="25"/>
  <c r="K11" i="25"/>
  <c r="AQ13" i="25"/>
  <c r="AQ15" i="25"/>
  <c r="AD16" i="25"/>
  <c r="AU18" i="25"/>
  <c r="AY20" i="25"/>
  <c r="N7" i="25"/>
  <c r="BC7" i="25"/>
  <c r="BC8" i="25"/>
  <c r="AA9" i="25"/>
  <c r="BC9" i="25"/>
  <c r="V10" i="25"/>
  <c r="AL11" i="25"/>
  <c r="K12" i="25"/>
  <c r="AU13" i="25"/>
  <c r="O24" i="25"/>
  <c r="AU14" i="25"/>
  <c r="K15" i="25"/>
  <c r="AU16" i="25"/>
  <c r="AU17" i="25"/>
  <c r="W18" i="25"/>
  <c r="AM19" i="25"/>
  <c r="AL21" i="25"/>
  <c r="W22" i="25"/>
  <c r="AM24" i="26"/>
  <c r="AL24" i="26"/>
  <c r="AM24" i="27"/>
  <c r="AL24" i="27"/>
  <c r="AM9" i="25"/>
  <c r="AM10" i="25"/>
  <c r="AM11" i="25"/>
  <c r="AM12" i="25"/>
  <c r="AM15" i="25"/>
  <c r="AM20" i="25"/>
  <c r="AI24" i="26"/>
  <c r="AY24" i="26"/>
  <c r="AH24" i="26"/>
  <c r="AX24" i="27"/>
  <c r="AI24" i="27"/>
  <c r="AY24" i="27"/>
  <c r="AH24" i="27"/>
  <c r="AI7" i="25"/>
  <c r="AI11" i="25"/>
  <c r="AE24" i="26"/>
  <c r="AD24" i="26"/>
  <c r="AE24" i="27"/>
  <c r="AD24" i="27"/>
  <c r="AE16" i="25"/>
  <c r="AE24" i="25" s="1"/>
  <c r="Z24" i="27"/>
  <c r="AA24" i="27"/>
  <c r="AA24" i="26"/>
  <c r="AH16" i="25"/>
  <c r="R16" i="25"/>
  <c r="V8" i="25"/>
  <c r="AL13" i="25"/>
  <c r="S16" i="25"/>
  <c r="G11" i="25"/>
  <c r="F12" i="25"/>
  <c r="AM13" i="25"/>
  <c r="AM16" i="25"/>
  <c r="W20" i="25"/>
  <c r="G22" i="25"/>
  <c r="AP22" i="25"/>
  <c r="F8" i="25"/>
  <c r="AT8" i="25"/>
  <c r="J9" i="25"/>
  <c r="AX9" i="25"/>
  <c r="AT10" i="25"/>
  <c r="AT11" i="25"/>
  <c r="AP13" i="25"/>
  <c r="AM14" i="25"/>
  <c r="V15" i="25"/>
  <c r="G16" i="25"/>
  <c r="W16" i="25"/>
  <c r="AP16" i="25"/>
  <c r="Z17" i="25"/>
  <c r="AL18" i="25"/>
  <c r="BB18" i="25"/>
  <c r="W19" i="25"/>
  <c r="Z20" i="25"/>
  <c r="AT21" i="25"/>
  <c r="J22" i="25"/>
  <c r="R24" i="26"/>
  <c r="W24" i="27"/>
  <c r="V17" i="25"/>
  <c r="W8" i="25"/>
  <c r="W24" i="25" s="1"/>
  <c r="AL14" i="25"/>
  <c r="W17" i="25"/>
  <c r="AT7" i="25"/>
  <c r="J11" i="25"/>
  <c r="G12" i="25"/>
  <c r="G8" i="25"/>
  <c r="J12" i="25"/>
  <c r="AP14" i="25"/>
  <c r="W15" i="25"/>
  <c r="AT15" i="25"/>
  <c r="J16" i="25"/>
  <c r="Z16" i="25"/>
  <c r="AQ16" i="25"/>
  <c r="F17" i="25"/>
  <c r="AX17" i="25"/>
  <c r="AM18" i="25"/>
  <c r="BC18" i="25"/>
  <c r="Z19" i="25"/>
  <c r="BB19" i="25"/>
  <c r="BB20" i="25"/>
  <c r="S21" i="25"/>
  <c r="AU21" i="25"/>
  <c r="K22" i="25"/>
  <c r="AU22" i="25"/>
  <c r="AI16" i="25"/>
  <c r="AL16" i="25"/>
  <c r="G9" i="25"/>
  <c r="V16" i="25"/>
  <c r="Z8" i="25"/>
  <c r="AX12" i="25"/>
  <c r="R7" i="25"/>
  <c r="AH7" i="25"/>
  <c r="AX7" i="25"/>
  <c r="AX8" i="25"/>
  <c r="AL9" i="25"/>
  <c r="BB9" i="25"/>
  <c r="BB24" i="25" s="1"/>
  <c r="R10" i="25"/>
  <c r="AH10" i="25"/>
  <c r="AX10" i="25"/>
  <c r="AH11" i="25"/>
  <c r="AX11" i="25"/>
  <c r="AL12" i="25"/>
  <c r="BB12" i="25"/>
  <c r="W13" i="25"/>
  <c r="AT13" i="25"/>
  <c r="W14" i="25"/>
  <c r="AQ14" i="25"/>
  <c r="F15" i="25"/>
  <c r="Z15" i="25"/>
  <c r="AU15" i="25"/>
  <c r="K16" i="25"/>
  <c r="AT16" i="25"/>
  <c r="AY17" i="25"/>
  <c r="V18" i="25"/>
  <c r="AP18" i="25"/>
  <c r="AL19" i="25"/>
  <c r="BC19" i="25"/>
  <c r="BC20" i="25"/>
  <c r="AX21" i="25"/>
  <c r="AY22" i="25"/>
  <c r="AA13" i="25"/>
  <c r="AA15" i="25"/>
  <c r="AA16" i="25"/>
  <c r="AA17" i="25"/>
  <c r="AA19" i="25"/>
  <c r="AA20" i="25"/>
  <c r="AA22" i="25"/>
  <c r="S24" i="27"/>
  <c r="J24" i="27"/>
  <c r="R24" i="27"/>
  <c r="R17" i="25"/>
  <c r="AH17" i="25"/>
  <c r="AH18" i="25"/>
  <c r="AD19" i="25"/>
  <c r="AH12" i="25"/>
  <c r="R12" i="25"/>
  <c r="AI12" i="25"/>
  <c r="AH13" i="25"/>
  <c r="AH14" i="25"/>
  <c r="S17" i="25"/>
  <c r="AI17" i="25"/>
  <c r="S18" i="25"/>
  <c r="AI18" i="25"/>
  <c r="BF18" i="25" s="1"/>
  <c r="N19" i="25"/>
  <c r="AU19" i="25"/>
  <c r="AD20" i="25"/>
  <c r="AT20" i="25"/>
  <c r="AD22" i="25"/>
  <c r="AT22" i="25"/>
  <c r="R8" i="25"/>
  <c r="S12" i="25"/>
  <c r="R13" i="25"/>
  <c r="AI13" i="25"/>
  <c r="AI14" i="25"/>
  <c r="AH19" i="25"/>
  <c r="N20" i="25"/>
  <c r="V24" i="27"/>
  <c r="BD24" i="25"/>
  <c r="AH8" i="25"/>
  <c r="S8" i="25"/>
  <c r="AI8" i="25"/>
  <c r="S13" i="25"/>
  <c r="S14" i="25"/>
  <c r="R19" i="25"/>
  <c r="AI19" i="25"/>
  <c r="AH20" i="25"/>
  <c r="AH22" i="25"/>
  <c r="AX22" i="25"/>
  <c r="J24" i="26"/>
  <c r="R9" i="25"/>
  <c r="R15" i="25"/>
  <c r="AH15" i="25"/>
  <c r="S19" i="25"/>
  <c r="R20" i="25"/>
  <c r="AI20" i="25"/>
  <c r="AH21" i="25"/>
  <c r="AI22" i="25"/>
  <c r="S9" i="25"/>
  <c r="AI9" i="25"/>
  <c r="S15" i="25"/>
  <c r="AI15" i="25"/>
  <c r="S20" i="25"/>
  <c r="R21" i="25"/>
  <c r="S24" i="26"/>
  <c r="F24" i="26"/>
  <c r="V24" i="26"/>
  <c r="O24" i="27"/>
  <c r="N24" i="27"/>
  <c r="N24" i="26"/>
  <c r="K24" i="27"/>
  <c r="K24" i="26"/>
  <c r="G24" i="26"/>
  <c r="G24" i="27"/>
  <c r="F24" i="27"/>
  <c r="W24" i="26"/>
  <c r="O24" i="26"/>
  <c r="V12" i="25"/>
  <c r="V13" i="25"/>
  <c r="V14" i="25"/>
  <c r="V19" i="25"/>
  <c r="V20" i="25"/>
  <c r="V21" i="25"/>
  <c r="R11" i="25"/>
  <c r="R14" i="25"/>
  <c r="R18" i="25"/>
  <c r="N10" i="25"/>
  <c r="N11" i="25"/>
  <c r="N14" i="25"/>
  <c r="N17" i="25"/>
  <c r="N18" i="25"/>
  <c r="N21" i="25"/>
  <c r="F9" i="25"/>
  <c r="F11" i="25"/>
  <c r="F13" i="25"/>
  <c r="F14" i="25"/>
  <c r="F16" i="25"/>
  <c r="F18" i="25"/>
  <c r="F20" i="25"/>
  <c r="BF11" i="25" l="1"/>
  <c r="AP24" i="25"/>
  <c r="BF8" i="25"/>
  <c r="BF16" i="25"/>
  <c r="BF10" i="25"/>
  <c r="BC24" i="25"/>
  <c r="BF19" i="25"/>
  <c r="AY24" i="25"/>
  <c r="BF7" i="25"/>
  <c r="BF21" i="25"/>
  <c r="BF22" i="25"/>
  <c r="BF13" i="25"/>
  <c r="AU24" i="25"/>
  <c r="AQ24" i="25"/>
  <c r="AX24" i="25"/>
  <c r="AT24" i="25"/>
  <c r="BE7" i="25"/>
  <c r="AL24" i="25"/>
  <c r="BF12" i="25"/>
  <c r="AD24" i="25"/>
  <c r="Z24" i="25"/>
  <c r="J24" i="25"/>
  <c r="AM24" i="25"/>
  <c r="G24" i="25"/>
  <c r="BE21" i="25"/>
  <c r="K24" i="25"/>
  <c r="BE9" i="25"/>
  <c r="BF15" i="25"/>
  <c r="BF14" i="25"/>
  <c r="AI24" i="25"/>
  <c r="BE8" i="25"/>
  <c r="AH24" i="25"/>
  <c r="BE12" i="25"/>
  <c r="BE22" i="25"/>
  <c r="BE17" i="25"/>
  <c r="BF9" i="25"/>
  <c r="BE15" i="25"/>
  <c r="AA24" i="25"/>
  <c r="BE19" i="25"/>
  <c r="BE16" i="25"/>
  <c r="BF20" i="25"/>
  <c r="BF17" i="25"/>
  <c r="N24" i="25"/>
  <c r="R24" i="25"/>
  <c r="BE20" i="25"/>
  <c r="BE10" i="25"/>
  <c r="V24" i="25"/>
  <c r="S24" i="25"/>
  <c r="BE13" i="25"/>
  <c r="BE14" i="25"/>
  <c r="BE18" i="25"/>
  <c r="BE11" i="25"/>
  <c r="F24" i="25"/>
  <c r="BF24" i="25" l="1"/>
  <c r="BE24" i="25"/>
  <c r="U24" i="24"/>
  <c r="W22" i="24" s="1"/>
  <c r="BA24" i="24"/>
  <c r="AZ24" i="24"/>
  <c r="AW24" i="24"/>
  <c r="AV24" i="24"/>
  <c r="AS24" i="24"/>
  <c r="AR24" i="24"/>
  <c r="AO24" i="24"/>
  <c r="AQ22" i="24" s="1"/>
  <c r="AN24" i="24"/>
  <c r="BB22" i="24" s="1"/>
  <c r="AK24" i="24"/>
  <c r="AJ24" i="24"/>
  <c r="AG24" i="24"/>
  <c r="AI19" i="24" s="1"/>
  <c r="AF24" i="24"/>
  <c r="AH19" i="24" s="1"/>
  <c r="AC24" i="24"/>
  <c r="AE21" i="24" s="1"/>
  <c r="AB24" i="24"/>
  <c r="AD20" i="24" s="1"/>
  <c r="Y24" i="24"/>
  <c r="AA14" i="24" s="1"/>
  <c r="X24" i="24"/>
  <c r="T24" i="24"/>
  <c r="Q24" i="24"/>
  <c r="S21" i="24" s="1"/>
  <c r="P24" i="24"/>
  <c r="R22" i="24" s="1"/>
  <c r="M24" i="24"/>
  <c r="O7" i="24" s="1"/>
  <c r="L24" i="24"/>
  <c r="N19" i="24" s="1"/>
  <c r="I24" i="24"/>
  <c r="J21" i="24"/>
  <c r="E24" i="24"/>
  <c r="D24" i="24"/>
  <c r="F9" i="24" s="1"/>
  <c r="BD22" i="24"/>
  <c r="AU22" i="24"/>
  <c r="S22" i="24"/>
  <c r="BD21" i="24"/>
  <c r="AD21" i="24"/>
  <c r="O21" i="24"/>
  <c r="K21" i="24"/>
  <c r="BD20" i="24"/>
  <c r="AP20" i="24"/>
  <c r="O20" i="24"/>
  <c r="K20" i="24"/>
  <c r="BD19" i="24"/>
  <c r="S19" i="24"/>
  <c r="K19" i="24"/>
  <c r="BD18" i="24"/>
  <c r="O18" i="24"/>
  <c r="K18" i="24"/>
  <c r="BD17" i="24"/>
  <c r="K17" i="24"/>
  <c r="BD16" i="24"/>
  <c r="Z16" i="24"/>
  <c r="O16" i="24"/>
  <c r="K16" i="24"/>
  <c r="BD15" i="24"/>
  <c r="BB15" i="24"/>
  <c r="N15" i="24"/>
  <c r="K15" i="24"/>
  <c r="BD14" i="24"/>
  <c r="AL14" i="24"/>
  <c r="AI14" i="24"/>
  <c r="O14" i="24"/>
  <c r="BD13" i="24"/>
  <c r="AE13" i="24"/>
  <c r="O13" i="24"/>
  <c r="BD12" i="24"/>
  <c r="BB12" i="24"/>
  <c r="AX12" i="24"/>
  <c r="AE12" i="24"/>
  <c r="O12" i="24"/>
  <c r="BD11" i="24"/>
  <c r="AA11" i="24"/>
  <c r="BD10" i="24"/>
  <c r="AY10" i="24"/>
  <c r="O10" i="24"/>
  <c r="BD9" i="24"/>
  <c r="AA9" i="24"/>
  <c r="K9" i="24"/>
  <c r="BD8" i="24"/>
  <c r="AE8" i="24"/>
  <c r="Z8" i="24"/>
  <c r="S8" i="24"/>
  <c r="O8" i="24"/>
  <c r="B8" i="24"/>
  <c r="B9" i="24" s="1"/>
  <c r="B10" i="24" s="1"/>
  <c r="B11" i="24" s="1"/>
  <c r="B12" i="24" s="1"/>
  <c r="B13" i="24" s="1"/>
  <c r="BD7" i="24"/>
  <c r="Z7" i="24"/>
  <c r="K7" i="24"/>
  <c r="BA24" i="23"/>
  <c r="AZ24" i="23"/>
  <c r="AW24" i="23"/>
  <c r="AV24" i="23"/>
  <c r="AS24" i="23"/>
  <c r="AO24" i="23"/>
  <c r="BC12" i="23" s="1"/>
  <c r="AN24" i="23"/>
  <c r="AT22" i="23" s="1"/>
  <c r="AK24" i="23"/>
  <c r="AM22" i="23" s="1"/>
  <c r="AJ24" i="23"/>
  <c r="AL16" i="23" s="1"/>
  <c r="AG24" i="23"/>
  <c r="AI13" i="23" s="1"/>
  <c r="AF24" i="23"/>
  <c r="AH17" i="23" s="1"/>
  <c r="AC24" i="23"/>
  <c r="AB24" i="23"/>
  <c r="Y24" i="23"/>
  <c r="X24" i="23"/>
  <c r="Z21" i="23" s="1"/>
  <c r="U24" i="23"/>
  <c r="T24" i="23"/>
  <c r="Q24" i="23"/>
  <c r="W21" i="23" s="1"/>
  <c r="P24" i="23"/>
  <c r="R8" i="23" s="1"/>
  <c r="M24" i="23"/>
  <c r="O22" i="23" s="1"/>
  <c r="L24" i="23"/>
  <c r="N11" i="23" s="1"/>
  <c r="I24" i="23"/>
  <c r="H24" i="23"/>
  <c r="J22" i="23" s="1"/>
  <c r="E24" i="23"/>
  <c r="G20" i="23" s="1"/>
  <c r="D24" i="23"/>
  <c r="BD22" i="23"/>
  <c r="BB22" i="23"/>
  <c r="AU22" i="23"/>
  <c r="BD21" i="23"/>
  <c r="AM21" i="23"/>
  <c r="BD20" i="23"/>
  <c r="AP20" i="23"/>
  <c r="AM20" i="23"/>
  <c r="BD19" i="23"/>
  <c r="AP19" i="23"/>
  <c r="Z19" i="23"/>
  <c r="BD18" i="23"/>
  <c r="AX18" i="23"/>
  <c r="Z18" i="23"/>
  <c r="BD17" i="23"/>
  <c r="Z17" i="23"/>
  <c r="BD16" i="23"/>
  <c r="AX16" i="23"/>
  <c r="AQ16" i="23"/>
  <c r="AP16" i="23"/>
  <c r="Z16" i="23"/>
  <c r="BD15" i="23"/>
  <c r="BB15" i="23"/>
  <c r="AT15" i="23"/>
  <c r="AM15" i="23"/>
  <c r="Z15" i="23"/>
  <c r="BD14" i="23"/>
  <c r="AX14" i="23"/>
  <c r="AP14" i="23"/>
  <c r="Z14" i="23"/>
  <c r="G14" i="23"/>
  <c r="BD13" i="23"/>
  <c r="AX13" i="23"/>
  <c r="AP13" i="23"/>
  <c r="Z13" i="23"/>
  <c r="BD12" i="23"/>
  <c r="BB12" i="23"/>
  <c r="AT12" i="23"/>
  <c r="AM12" i="23"/>
  <c r="Z12" i="23"/>
  <c r="G12" i="23"/>
  <c r="F12" i="23"/>
  <c r="BD11" i="23"/>
  <c r="AX11" i="23"/>
  <c r="AP11" i="23"/>
  <c r="Z11" i="23"/>
  <c r="W11" i="23"/>
  <c r="J11" i="23"/>
  <c r="G11" i="23"/>
  <c r="BD10" i="23"/>
  <c r="AX10" i="23"/>
  <c r="AP10" i="23"/>
  <c r="Z10" i="23"/>
  <c r="J10" i="23"/>
  <c r="BD9" i="23"/>
  <c r="BB9" i="23"/>
  <c r="AT9" i="23"/>
  <c r="AM9" i="23"/>
  <c r="Z9" i="23"/>
  <c r="J9" i="23"/>
  <c r="BD8" i="23"/>
  <c r="AT8" i="23"/>
  <c r="Z8" i="23"/>
  <c r="J8" i="23"/>
  <c r="B8" i="23"/>
  <c r="B9" i="23" s="1"/>
  <c r="B10" i="23" s="1"/>
  <c r="B11" i="23" s="1"/>
  <c r="B12" i="23" s="1"/>
  <c r="B13" i="23" s="1"/>
  <c r="BD7" i="23"/>
  <c r="AX7" i="23"/>
  <c r="AP7" i="23"/>
  <c r="Z7" i="23"/>
  <c r="J7" i="23"/>
  <c r="G7" i="23"/>
  <c r="BA24" i="22"/>
  <c r="AZ24" i="22"/>
  <c r="AW24" i="22"/>
  <c r="AS24" i="22"/>
  <c r="AR24" i="22"/>
  <c r="AO24" i="22"/>
  <c r="AY16" i="22" s="1"/>
  <c r="AN24" i="22"/>
  <c r="AT20" i="22" s="1"/>
  <c r="AK24" i="22"/>
  <c r="AM10" i="22" s="1"/>
  <c r="AJ24" i="22"/>
  <c r="AL11" i="22" s="1"/>
  <c r="AG24" i="22"/>
  <c r="AF24" i="22"/>
  <c r="AH20" i="22" s="1"/>
  <c r="AC24" i="22"/>
  <c r="AE16" i="22" s="1"/>
  <c r="AB24" i="22"/>
  <c r="AD21" i="22" s="1"/>
  <c r="Y24" i="22"/>
  <c r="AA17" i="22" s="1"/>
  <c r="X24" i="22"/>
  <c r="Z11" i="22" s="1"/>
  <c r="T24" i="22"/>
  <c r="Q24" i="22"/>
  <c r="W8" i="22" s="1"/>
  <c r="P24" i="22"/>
  <c r="V8" i="22" s="1"/>
  <c r="M24" i="22"/>
  <c r="L24" i="22"/>
  <c r="I24" i="22"/>
  <c r="K13" i="22" s="1"/>
  <c r="J8" i="22"/>
  <c r="E24" i="22"/>
  <c r="D24" i="22"/>
  <c r="BD22" i="22"/>
  <c r="BD21" i="22"/>
  <c r="AX21" i="22"/>
  <c r="BD20" i="22"/>
  <c r="BB20" i="22"/>
  <c r="BD19" i="22"/>
  <c r="BD18" i="22"/>
  <c r="BD17" i="22"/>
  <c r="AE17" i="22"/>
  <c r="BD16" i="22"/>
  <c r="AI16" i="22"/>
  <c r="BD15" i="22"/>
  <c r="BD14" i="22"/>
  <c r="BD13" i="22"/>
  <c r="BD12" i="22"/>
  <c r="BD11" i="22"/>
  <c r="AI11" i="22"/>
  <c r="BD10" i="22"/>
  <c r="AI10" i="22"/>
  <c r="AE10" i="22"/>
  <c r="BD9" i="22"/>
  <c r="AE9" i="22"/>
  <c r="BD8" i="22"/>
  <c r="B8" i="22"/>
  <c r="B9" i="22" s="1"/>
  <c r="B10" i="22" s="1"/>
  <c r="B11" i="22" s="1"/>
  <c r="B12" i="22" s="1"/>
  <c r="B13" i="22" s="1"/>
  <c r="BD7" i="22"/>
  <c r="AI7" i="22"/>
  <c r="AE7" i="22"/>
  <c r="S7" i="22"/>
  <c r="BA24" i="20"/>
  <c r="AZ24" i="20"/>
  <c r="AW24" i="20"/>
  <c r="AV24" i="20"/>
  <c r="AS24" i="20"/>
  <c r="AR24" i="20"/>
  <c r="AO24" i="20"/>
  <c r="BC13" i="20" s="1"/>
  <c r="AN24" i="20"/>
  <c r="BB14" i="20" s="1"/>
  <c r="AK24" i="20"/>
  <c r="AM13" i="20" s="1"/>
  <c r="AJ24" i="20"/>
  <c r="AL13" i="20" s="1"/>
  <c r="AG24" i="20"/>
  <c r="AI16" i="20" s="1"/>
  <c r="AF24" i="20"/>
  <c r="AH14" i="20" s="1"/>
  <c r="AC24" i="20"/>
  <c r="AE17" i="20" s="1"/>
  <c r="AB24" i="20"/>
  <c r="AD21" i="20" s="1"/>
  <c r="Y24" i="20"/>
  <c r="X24" i="20"/>
  <c r="Z15" i="20" s="1"/>
  <c r="U24" i="20"/>
  <c r="W15" i="20" s="1"/>
  <c r="T24" i="20"/>
  <c r="Q24" i="20"/>
  <c r="S18" i="20" s="1"/>
  <c r="P24" i="20"/>
  <c r="R22" i="20" s="1"/>
  <c r="M24" i="20"/>
  <c r="O16" i="20" s="1"/>
  <c r="L24" i="20"/>
  <c r="N21" i="20" s="1"/>
  <c r="I24" i="20"/>
  <c r="K16" i="20" s="1"/>
  <c r="H24" i="20"/>
  <c r="J8" i="20" s="1"/>
  <c r="E24" i="20"/>
  <c r="D24" i="20"/>
  <c r="F22" i="20" s="1"/>
  <c r="BD22" i="20"/>
  <c r="BD21" i="20"/>
  <c r="BD20" i="20"/>
  <c r="BD19" i="20"/>
  <c r="BD18" i="20"/>
  <c r="BD17" i="20"/>
  <c r="AD17" i="20"/>
  <c r="S17" i="20"/>
  <c r="BD16" i="20"/>
  <c r="AD16" i="20"/>
  <c r="S16" i="20"/>
  <c r="BD15" i="20"/>
  <c r="AI15" i="20"/>
  <c r="N15" i="20"/>
  <c r="BD14" i="20"/>
  <c r="AI14" i="20"/>
  <c r="AD14" i="20"/>
  <c r="K14" i="20"/>
  <c r="J14" i="20"/>
  <c r="BD13" i="20"/>
  <c r="AE13" i="20"/>
  <c r="K13" i="20"/>
  <c r="BD12" i="20"/>
  <c r="AE12" i="20"/>
  <c r="O12" i="20"/>
  <c r="BD11" i="20"/>
  <c r="AE11" i="20"/>
  <c r="K11" i="20"/>
  <c r="BD10" i="20"/>
  <c r="AE10" i="20"/>
  <c r="AD10" i="20"/>
  <c r="AA10" i="20"/>
  <c r="Z10" i="20"/>
  <c r="O10" i="20"/>
  <c r="BD9" i="20"/>
  <c r="AI9" i="20"/>
  <c r="S9" i="20"/>
  <c r="F9" i="20"/>
  <c r="BD8" i="20"/>
  <c r="AE8" i="20"/>
  <c r="Z8" i="20"/>
  <c r="S8" i="20"/>
  <c r="B8" i="20"/>
  <c r="B9" i="20" s="1"/>
  <c r="B10" i="20" s="1"/>
  <c r="B11" i="20" s="1"/>
  <c r="B12" i="20" s="1"/>
  <c r="B13" i="20" s="1"/>
  <c r="BD7" i="20"/>
  <c r="AE7" i="20"/>
  <c r="O7" i="20"/>
  <c r="B8" i="19"/>
  <c r="B9" i="19" s="1"/>
  <c r="B10" i="19" s="1"/>
  <c r="B11" i="19" s="1"/>
  <c r="B12" i="19" s="1"/>
  <c r="B13" i="19" s="1"/>
  <c r="B14" i="19" s="1"/>
  <c r="AW24" i="19"/>
  <c r="AV24" i="19"/>
  <c r="AU19" i="19"/>
  <c r="AN24" i="19"/>
  <c r="AK24" i="19"/>
  <c r="AM13" i="19" s="1"/>
  <c r="AJ24" i="19"/>
  <c r="AG24" i="19"/>
  <c r="AI13" i="19" s="1"/>
  <c r="AF24" i="19"/>
  <c r="AH13" i="19" s="1"/>
  <c r="AC24" i="19"/>
  <c r="AE8" i="19" s="1"/>
  <c r="AB24" i="19"/>
  <c r="AD17" i="19" s="1"/>
  <c r="X24" i="19"/>
  <c r="Z18" i="19" s="1"/>
  <c r="U24" i="19"/>
  <c r="T24" i="19"/>
  <c r="P24" i="19"/>
  <c r="V8" i="19" s="1"/>
  <c r="L24" i="19"/>
  <c r="N7" i="19" s="1"/>
  <c r="H24" i="19"/>
  <c r="J8" i="19" s="1"/>
  <c r="D24" i="19"/>
  <c r="BD22" i="19"/>
  <c r="AQ22" i="19"/>
  <c r="BD21" i="19"/>
  <c r="AE21" i="19"/>
  <c r="BD20" i="19"/>
  <c r="BD18" i="19"/>
  <c r="BD17" i="19"/>
  <c r="BD16" i="19"/>
  <c r="BD15" i="19"/>
  <c r="AY14" i="19"/>
  <c r="BD14" i="19"/>
  <c r="AE12" i="19"/>
  <c r="Q24" i="19"/>
  <c r="M24" i="19"/>
  <c r="BD11" i="19"/>
  <c r="BD10" i="19"/>
  <c r="BD9" i="19"/>
  <c r="BD8" i="19"/>
  <c r="F7" i="19"/>
  <c r="B14" i="20" l="1"/>
  <c r="B15" i="20" s="1"/>
  <c r="B16" i="20" s="1"/>
  <c r="B17" i="20" s="1"/>
  <c r="B18" i="20" s="1"/>
  <c r="B19" i="20" s="1"/>
  <c r="B20" i="20" s="1"/>
  <c r="B21" i="20" s="1"/>
  <c r="B22" i="20" s="1"/>
  <c r="B14" i="22"/>
  <c r="B15" i="22" s="1"/>
  <c r="B16" i="22" s="1"/>
  <c r="B17" i="22" s="1"/>
  <c r="B18" i="22" s="1"/>
  <c r="B19" i="22" s="1"/>
  <c r="B20" i="22" s="1"/>
  <c r="B21" i="22" s="1"/>
  <c r="B22" i="22" s="1"/>
  <c r="B14" i="23"/>
  <c r="B15" i="23" s="1"/>
  <c r="B16" i="23" s="1"/>
  <c r="B17" i="23" s="1"/>
  <c r="B18" i="23" s="1"/>
  <c r="B19" i="23" s="1"/>
  <c r="B20" i="23" s="1"/>
  <c r="B21" i="23" s="1"/>
  <c r="B22" i="23" s="1"/>
  <c r="B14" i="24"/>
  <c r="B15" i="24" s="1"/>
  <c r="B16" i="24" s="1"/>
  <c r="B17" i="24" s="1"/>
  <c r="B18" i="24" s="1"/>
  <c r="B19" i="24" s="1"/>
  <c r="B20" i="24" s="1"/>
  <c r="B21" i="24" s="1"/>
  <c r="B22" i="24" s="1"/>
  <c r="G19" i="23"/>
  <c r="S7" i="20"/>
  <c r="BC7" i="20"/>
  <c r="AI8" i="20"/>
  <c r="AE9" i="20"/>
  <c r="O11" i="20"/>
  <c r="AI11" i="20"/>
  <c r="K12" i="20"/>
  <c r="S12" i="20"/>
  <c r="O13" i="20"/>
  <c r="O14" i="20"/>
  <c r="AE14" i="20"/>
  <c r="AE15" i="20"/>
  <c r="O17" i="20"/>
  <c r="O18" i="20"/>
  <c r="AH8" i="22"/>
  <c r="G8" i="23"/>
  <c r="AY8" i="23"/>
  <c r="G9" i="23"/>
  <c r="S10" i="23"/>
  <c r="G17" i="23"/>
  <c r="AM17" i="23"/>
  <c r="G18" i="23"/>
  <c r="AM18" i="23"/>
  <c r="G21" i="23"/>
  <c r="R8" i="24"/>
  <c r="AQ8" i="24"/>
  <c r="AY9" i="24"/>
  <c r="AU11" i="24"/>
  <c r="AA13" i="24"/>
  <c r="AY13" i="24"/>
  <c r="J17" i="24"/>
  <c r="AY17" i="24"/>
  <c r="AA18" i="24"/>
  <c r="AM8" i="19"/>
  <c r="AM22" i="19"/>
  <c r="N8" i="20"/>
  <c r="N11" i="20"/>
  <c r="N12" i="20"/>
  <c r="N13" i="20"/>
  <c r="N18" i="20"/>
  <c r="S11" i="20"/>
  <c r="AD7" i="20"/>
  <c r="AD8" i="20"/>
  <c r="AD9" i="20"/>
  <c r="AD11" i="20"/>
  <c r="AD12" i="20"/>
  <c r="AD13" i="20"/>
  <c r="AD15" i="20"/>
  <c r="AD18" i="20"/>
  <c r="AD19" i="20"/>
  <c r="J15" i="24"/>
  <c r="N8" i="24"/>
  <c r="N12" i="24"/>
  <c r="N20" i="24"/>
  <c r="R19" i="24"/>
  <c r="AE11" i="24"/>
  <c r="AE22" i="24"/>
  <c r="AY7" i="24"/>
  <c r="BC8" i="24"/>
  <c r="AQ9" i="24"/>
  <c r="AQ10" i="24"/>
  <c r="AU12" i="24"/>
  <c r="AY12" i="24"/>
  <c r="AQ13" i="24"/>
  <c r="AU14" i="24"/>
  <c r="BC18" i="24"/>
  <c r="AM7" i="23"/>
  <c r="AM24" i="23" s="1"/>
  <c r="AM8" i="23"/>
  <c r="AM10" i="23"/>
  <c r="AM11" i="23"/>
  <c r="AM13" i="23"/>
  <c r="AM14" i="23"/>
  <c r="AM16" i="23"/>
  <c r="AM19" i="23"/>
  <c r="AI8" i="23"/>
  <c r="AI17" i="23"/>
  <c r="AI19" i="23"/>
  <c r="AI21" i="23"/>
  <c r="AP10" i="19"/>
  <c r="BB7" i="19"/>
  <c r="BB9" i="19"/>
  <c r="BB11" i="19"/>
  <c r="BB13" i="19"/>
  <c r="BB14" i="19"/>
  <c r="BB16" i="19"/>
  <c r="BB18" i="19"/>
  <c r="BB20" i="19"/>
  <c r="BB22" i="19"/>
  <c r="BB8" i="19"/>
  <c r="BB10" i="19"/>
  <c r="BB12" i="19"/>
  <c r="BB15" i="19"/>
  <c r="BB17" i="19"/>
  <c r="BB19" i="19"/>
  <c r="BB21" i="19"/>
  <c r="AD7" i="19"/>
  <c r="AD15" i="19"/>
  <c r="AD18" i="19"/>
  <c r="AT7" i="23"/>
  <c r="BB7" i="23"/>
  <c r="AP8" i="23"/>
  <c r="AX8" i="23"/>
  <c r="BB8" i="23"/>
  <c r="AP9" i="23"/>
  <c r="AX9" i="23"/>
  <c r="AT10" i="23"/>
  <c r="BB10" i="23"/>
  <c r="AT11" i="23"/>
  <c r="BB11" i="23"/>
  <c r="AP12" i="23"/>
  <c r="AX12" i="23"/>
  <c r="AT13" i="23"/>
  <c r="BB13" i="23"/>
  <c r="AT14" i="23"/>
  <c r="BB14" i="23"/>
  <c r="AP15" i="23"/>
  <c r="AX15" i="23"/>
  <c r="BB16" i="23"/>
  <c r="AX17" i="23"/>
  <c r="BB19" i="23"/>
  <c r="BB20" i="23"/>
  <c r="BC7" i="23"/>
  <c r="AU9" i="23"/>
  <c r="AU10" i="23"/>
  <c r="AL18" i="23"/>
  <c r="AL20" i="23"/>
  <c r="AL14" i="23"/>
  <c r="AL19" i="23"/>
  <c r="AX21" i="23"/>
  <c r="AP17" i="23"/>
  <c r="BB17" i="23"/>
  <c r="AP18" i="23"/>
  <c r="BB18" i="23"/>
  <c r="AX19" i="23"/>
  <c r="AT20" i="23"/>
  <c r="AT21" i="23"/>
  <c r="AX22" i="23"/>
  <c r="AP10" i="24"/>
  <c r="AX10" i="24"/>
  <c r="AP14" i="24"/>
  <c r="AT15" i="24"/>
  <c r="BB16" i="24"/>
  <c r="BB19" i="24"/>
  <c r="BB21" i="24"/>
  <c r="BC7" i="24"/>
  <c r="AY8" i="24"/>
  <c r="AU9" i="24"/>
  <c r="BC10" i="24"/>
  <c r="AQ11" i="24"/>
  <c r="AY11" i="24"/>
  <c r="AU13" i="24"/>
  <c r="AQ14" i="24"/>
  <c r="AQ15" i="24"/>
  <c r="AY15" i="24"/>
  <c r="AQ16" i="24"/>
  <c r="BC16" i="24"/>
  <c r="AQ17" i="24"/>
  <c r="AQ18" i="24"/>
  <c r="AU19" i="24"/>
  <c r="BC19" i="24"/>
  <c r="AQ20" i="24"/>
  <c r="BC20" i="24"/>
  <c r="AY21" i="24"/>
  <c r="BC21" i="24"/>
  <c r="BB7" i="24"/>
  <c r="BB8" i="24"/>
  <c r="BB9" i="24"/>
  <c r="AT11" i="24"/>
  <c r="AX11" i="24"/>
  <c r="AX13" i="24"/>
  <c r="AP18" i="24"/>
  <c r="AT18" i="24"/>
  <c r="AY9" i="20"/>
  <c r="AY13" i="20"/>
  <c r="AX9" i="20"/>
  <c r="AX20" i="20"/>
  <c r="AP9" i="20"/>
  <c r="AX13" i="20"/>
  <c r="AY19" i="19"/>
  <c r="AQ10" i="19"/>
  <c r="AU17" i="19"/>
  <c r="AP16" i="19"/>
  <c r="W7" i="22"/>
  <c r="Z12" i="22"/>
  <c r="AL20" i="22"/>
  <c r="AQ11" i="22"/>
  <c r="BC13" i="22"/>
  <c r="AT7" i="22"/>
  <c r="AX9" i="22"/>
  <c r="AX10" i="22"/>
  <c r="AP13" i="22"/>
  <c r="AX17" i="22"/>
  <c r="AQ15" i="22"/>
  <c r="AX19" i="22"/>
  <c r="BB9" i="22"/>
  <c r="AP10" i="22"/>
  <c r="AP11" i="22"/>
  <c r="AP14" i="22"/>
  <c r="AP19" i="22"/>
  <c r="AP20" i="22"/>
  <c r="R7" i="22"/>
  <c r="AU10" i="19"/>
  <c r="AU12" i="19"/>
  <c r="AL15" i="19"/>
  <c r="AU16" i="19"/>
  <c r="R7" i="20"/>
  <c r="J7" i="22"/>
  <c r="AQ10" i="22"/>
  <c r="S7" i="23"/>
  <c r="W9" i="23"/>
  <c r="AH10" i="23"/>
  <c r="R12" i="23"/>
  <c r="G15" i="23"/>
  <c r="R9" i="24"/>
  <c r="R12" i="24"/>
  <c r="R15" i="24"/>
  <c r="AD19" i="24"/>
  <c r="R20" i="24"/>
  <c r="AH21" i="24"/>
  <c r="AD22" i="24"/>
  <c r="R7" i="19"/>
  <c r="AL8" i="19"/>
  <c r="AU9" i="19"/>
  <c r="AY12" i="19"/>
  <c r="AQ15" i="19"/>
  <c r="F20" i="20"/>
  <c r="AU7" i="22"/>
  <c r="AY9" i="22"/>
  <c r="BC16" i="22"/>
  <c r="AI10" i="23"/>
  <c r="S12" i="23"/>
  <c r="S15" i="23"/>
  <c r="S9" i="24"/>
  <c r="S12" i="24"/>
  <c r="R13" i="24"/>
  <c r="S15" i="24"/>
  <c r="N16" i="24"/>
  <c r="S20" i="24"/>
  <c r="AI21" i="24"/>
  <c r="R7" i="23"/>
  <c r="AY9" i="19"/>
  <c r="AU15" i="19"/>
  <c r="AU18" i="19"/>
  <c r="F16" i="20"/>
  <c r="AY10" i="22"/>
  <c r="AQ12" i="22"/>
  <c r="AD22" i="22"/>
  <c r="AH9" i="23"/>
  <c r="G13" i="23"/>
  <c r="W15" i="23"/>
  <c r="G16" i="23"/>
  <c r="N10" i="24"/>
  <c r="S13" i="24"/>
  <c r="AD15" i="24"/>
  <c r="N18" i="24"/>
  <c r="AH20" i="24"/>
  <c r="N21" i="24"/>
  <c r="AH22" i="24"/>
  <c r="AH19" i="23"/>
  <c r="AT10" i="19"/>
  <c r="AQ16" i="19"/>
  <c r="AU22" i="19"/>
  <c r="AQ7" i="22"/>
  <c r="AL7" i="19"/>
  <c r="AQ7" i="19"/>
  <c r="AP8" i="19"/>
  <c r="AQ11" i="19"/>
  <c r="AQ13" i="19"/>
  <c r="AQ14" i="19"/>
  <c r="AQ21" i="19"/>
  <c r="BC9" i="22"/>
  <c r="AI9" i="23"/>
  <c r="G10" i="23"/>
  <c r="S16" i="23"/>
  <c r="G22" i="23"/>
  <c r="G24" i="23" s="1"/>
  <c r="N7" i="24"/>
  <c r="AD9" i="24"/>
  <c r="R16" i="24"/>
  <c r="AI20" i="24"/>
  <c r="AI22" i="24"/>
  <c r="AY11" i="22"/>
  <c r="AQ14" i="22"/>
  <c r="W8" i="23"/>
  <c r="R11" i="23"/>
  <c r="W16" i="23"/>
  <c r="R7" i="24"/>
  <c r="AI9" i="24"/>
  <c r="R10" i="24"/>
  <c r="R11" i="24"/>
  <c r="R14" i="24"/>
  <c r="S16" i="24"/>
  <c r="R17" i="24"/>
  <c r="R18" i="24"/>
  <c r="R21" i="24"/>
  <c r="AY17" i="19"/>
  <c r="AX7" i="19"/>
  <c r="AQ8" i="19"/>
  <c r="AU13" i="19"/>
  <c r="AT14" i="19"/>
  <c r="F14" i="20"/>
  <c r="AD7" i="22"/>
  <c r="AY7" i="19"/>
  <c r="AX8" i="19"/>
  <c r="AL10" i="19"/>
  <c r="AU14" i="19"/>
  <c r="AQ17" i="19"/>
  <c r="F11" i="20"/>
  <c r="BC8" i="22"/>
  <c r="AU13" i="22"/>
  <c r="AY17" i="22"/>
  <c r="R10" i="23"/>
  <c r="S11" i="23"/>
  <c r="S7" i="24"/>
  <c r="S10" i="24"/>
  <c r="S11" i="24"/>
  <c r="AI13" i="24"/>
  <c r="S14" i="24"/>
  <c r="S17" i="24"/>
  <c r="S18" i="24"/>
  <c r="AL7" i="23"/>
  <c r="AL8" i="23"/>
  <c r="AL11" i="23"/>
  <c r="AL12" i="23"/>
  <c r="AL16" i="19"/>
  <c r="AM21" i="19"/>
  <c r="AL7" i="20"/>
  <c r="AL11" i="20"/>
  <c r="AL12" i="20"/>
  <c r="AL10" i="22"/>
  <c r="AI15" i="24"/>
  <c r="AH7" i="24"/>
  <c r="AH10" i="24"/>
  <c r="AH16" i="24"/>
  <c r="AH11" i="24"/>
  <c r="AH14" i="24"/>
  <c r="AH17" i="24"/>
  <c r="AI7" i="24"/>
  <c r="AI8" i="24"/>
  <c r="AI10" i="24"/>
  <c r="AI11" i="24"/>
  <c r="AI12" i="24"/>
  <c r="AI16" i="24"/>
  <c r="AI17" i="24"/>
  <c r="AI18" i="24"/>
  <c r="AH8" i="24"/>
  <c r="AH9" i="24"/>
  <c r="AH12" i="24"/>
  <c r="AH13" i="24"/>
  <c r="AH15" i="24"/>
  <c r="AH18" i="24"/>
  <c r="AI12" i="20"/>
  <c r="AI13" i="20"/>
  <c r="AH11" i="22"/>
  <c r="AI8" i="22"/>
  <c r="AI9" i="22"/>
  <c r="AI12" i="22"/>
  <c r="AI14" i="22"/>
  <c r="AI15" i="22"/>
  <c r="AI17" i="22"/>
  <c r="AH9" i="22"/>
  <c r="AH13" i="22"/>
  <c r="AH15" i="22"/>
  <c r="AH16" i="22"/>
  <c r="AH19" i="22"/>
  <c r="AH22" i="22"/>
  <c r="AE16" i="20"/>
  <c r="AD11" i="24"/>
  <c r="AD12" i="24"/>
  <c r="AD17" i="24"/>
  <c r="AE7" i="24"/>
  <c r="AE9" i="24"/>
  <c r="AE10" i="24"/>
  <c r="AE15" i="24"/>
  <c r="AE16" i="24"/>
  <c r="AE17" i="24"/>
  <c r="AE19" i="24"/>
  <c r="AD13" i="24"/>
  <c r="AD14" i="24"/>
  <c r="AD16" i="19"/>
  <c r="AE10" i="19"/>
  <c r="AE14" i="19"/>
  <c r="AE8" i="22"/>
  <c r="AD12" i="22"/>
  <c r="AD13" i="22"/>
  <c r="AD9" i="22"/>
  <c r="AD14" i="22"/>
  <c r="AD17" i="22"/>
  <c r="AD18" i="22"/>
  <c r="AD19" i="22"/>
  <c r="K18" i="22"/>
  <c r="G18" i="20"/>
  <c r="G17" i="20"/>
  <c r="G14" i="20"/>
  <c r="BF14" i="20" s="1"/>
  <c r="K20" i="23"/>
  <c r="K12" i="23"/>
  <c r="K9" i="23"/>
  <c r="AQ22" i="23"/>
  <c r="AY16" i="23"/>
  <c r="AQ14" i="23"/>
  <c r="AQ13" i="23"/>
  <c r="AY12" i="23"/>
  <c r="AU11" i="23"/>
  <c r="BC9" i="23"/>
  <c r="AU7" i="23"/>
  <c r="BC21" i="23"/>
  <c r="AY20" i="23"/>
  <c r="AU19" i="23"/>
  <c r="AU18" i="23"/>
  <c r="AU17" i="23"/>
  <c r="AY15" i="23"/>
  <c r="AQ10" i="23"/>
  <c r="AU8" i="23"/>
  <c r="BC16" i="23"/>
  <c r="AY14" i="23"/>
  <c r="BC13" i="23"/>
  <c r="AQ11" i="23"/>
  <c r="BC10" i="23"/>
  <c r="AQ8" i="23"/>
  <c r="G9" i="20"/>
  <c r="AM12" i="20"/>
  <c r="BB22" i="20"/>
  <c r="BB18" i="20"/>
  <c r="AT18" i="20"/>
  <c r="BB21" i="20"/>
  <c r="BB13" i="20"/>
  <c r="AX12" i="20"/>
  <c r="K16" i="23"/>
  <c r="BC17" i="23"/>
  <c r="K19" i="23"/>
  <c r="AY19" i="23"/>
  <c r="K21" i="23"/>
  <c r="AY10" i="23"/>
  <c r="K15" i="23"/>
  <c r="AY22" i="23"/>
  <c r="V20" i="24"/>
  <c r="V21" i="24"/>
  <c r="AX16" i="22"/>
  <c r="AP15" i="22"/>
  <c r="AT13" i="22"/>
  <c r="BB12" i="22"/>
  <c r="AX11" i="22"/>
  <c r="AT9" i="22"/>
  <c r="BB18" i="22"/>
  <c r="BB17" i="22"/>
  <c r="AT14" i="22"/>
  <c r="AT10" i="22"/>
  <c r="AP8" i="22"/>
  <c r="BB7" i="22"/>
  <c r="BB21" i="22"/>
  <c r="AX20" i="22"/>
  <c r="AT19" i="22"/>
  <c r="AP17" i="22"/>
  <c r="AT16" i="22"/>
  <c r="AP12" i="22"/>
  <c r="AT11" i="22"/>
  <c r="AP9" i="22"/>
  <c r="BB8" i="22"/>
  <c r="AP7" i="22"/>
  <c r="K13" i="23"/>
  <c r="K14" i="23"/>
  <c r="AU15" i="23"/>
  <c r="BC19" i="23"/>
  <c r="AH21" i="23"/>
  <c r="AH20" i="23"/>
  <c r="AH16" i="23"/>
  <c r="AH8" i="23"/>
  <c r="AH12" i="23"/>
  <c r="AH14" i="23"/>
  <c r="AM11" i="24"/>
  <c r="AM10" i="24"/>
  <c r="AM7" i="20"/>
  <c r="AQ10" i="20"/>
  <c r="AQ16" i="20"/>
  <c r="AT8" i="22"/>
  <c r="BB10" i="22"/>
  <c r="AT12" i="22"/>
  <c r="AP16" i="22"/>
  <c r="AP18" i="22"/>
  <c r="BB19" i="22"/>
  <c r="AP22" i="22"/>
  <c r="K16" i="22"/>
  <c r="AY11" i="23"/>
  <c r="V12" i="23"/>
  <c r="R13" i="23"/>
  <c r="AU13" i="23"/>
  <c r="R14" i="23"/>
  <c r="AU14" i="23"/>
  <c r="K18" i="23"/>
  <c r="AY18" i="23"/>
  <c r="W19" i="23"/>
  <c r="W18" i="23"/>
  <c r="W10" i="23"/>
  <c r="S19" i="23"/>
  <c r="S18" i="23"/>
  <c r="W17" i="23"/>
  <c r="S14" i="23"/>
  <c r="S13" i="23"/>
  <c r="W7" i="23"/>
  <c r="S21" i="23"/>
  <c r="S8" i="23"/>
  <c r="AI12" i="23"/>
  <c r="AI22" i="23"/>
  <c r="AI15" i="23"/>
  <c r="AI16" i="23"/>
  <c r="AI7" i="23"/>
  <c r="J22" i="24"/>
  <c r="J8" i="24"/>
  <c r="J7" i="24"/>
  <c r="J12" i="24"/>
  <c r="J10" i="24"/>
  <c r="Z20" i="24"/>
  <c r="Z22" i="24"/>
  <c r="Z15" i="24"/>
  <c r="AP22" i="24"/>
  <c r="AT21" i="24"/>
  <c r="BB20" i="24"/>
  <c r="AP17" i="24"/>
  <c r="AX16" i="24"/>
  <c r="AP15" i="24"/>
  <c r="AT12" i="24"/>
  <c r="AP9" i="24"/>
  <c r="AX8" i="24"/>
  <c r="AX7" i="24"/>
  <c r="AP19" i="24"/>
  <c r="AX18" i="24"/>
  <c r="AX14" i="24"/>
  <c r="BB13" i="24"/>
  <c r="BB11" i="24"/>
  <c r="AT10" i="24"/>
  <c r="AX21" i="24"/>
  <c r="AX20" i="24"/>
  <c r="BB18" i="24"/>
  <c r="AX17" i="24"/>
  <c r="AX15" i="24"/>
  <c r="AP11" i="24"/>
  <c r="AP8" i="24"/>
  <c r="AT7" i="24"/>
  <c r="AX22" i="24"/>
  <c r="AX19" i="24"/>
  <c r="AT16" i="24"/>
  <c r="BB14" i="24"/>
  <c r="AP21" i="24"/>
  <c r="AT20" i="24"/>
  <c r="W10" i="24"/>
  <c r="AM10" i="19"/>
  <c r="AY22" i="19"/>
  <c r="AQ18" i="19"/>
  <c r="AY8" i="19"/>
  <c r="G7" i="20"/>
  <c r="AQ7" i="20"/>
  <c r="K8" i="20"/>
  <c r="AQ8" i="20"/>
  <c r="AU10" i="20"/>
  <c r="Z11" i="20"/>
  <c r="AX11" i="20"/>
  <c r="BB12" i="20"/>
  <c r="BC16" i="20"/>
  <c r="AY17" i="20"/>
  <c r="Z19" i="20"/>
  <c r="V7" i="22"/>
  <c r="AX7" i="22"/>
  <c r="AU8" i="22"/>
  <c r="BB11" i="22"/>
  <c r="AU12" i="22"/>
  <c r="AX13" i="22"/>
  <c r="AX14" i="22"/>
  <c r="AU15" i="22"/>
  <c r="AQ16" i="22"/>
  <c r="AQ17" i="22"/>
  <c r="AT18" i="22"/>
  <c r="AH21" i="22"/>
  <c r="AT22" i="22"/>
  <c r="N8" i="22"/>
  <c r="N7" i="22"/>
  <c r="AD16" i="22"/>
  <c r="AD20" i="22"/>
  <c r="AD10" i="22"/>
  <c r="AD11" i="22"/>
  <c r="AD8" i="22"/>
  <c r="K14" i="22"/>
  <c r="V7" i="23"/>
  <c r="K8" i="23"/>
  <c r="AH11" i="23"/>
  <c r="W12" i="23"/>
  <c r="AU12" i="23"/>
  <c r="W13" i="23"/>
  <c r="W14" i="23"/>
  <c r="AQ17" i="23"/>
  <c r="S20" i="23"/>
  <c r="AQ21" i="23"/>
  <c r="S22" i="23"/>
  <c r="F22" i="23"/>
  <c r="F15" i="23"/>
  <c r="F7" i="23"/>
  <c r="F8" i="23"/>
  <c r="AL21" i="23"/>
  <c r="AL22" i="23"/>
  <c r="AL15" i="23"/>
  <c r="AL9" i="23"/>
  <c r="AL17" i="23"/>
  <c r="AL13" i="23"/>
  <c r="AL10" i="23"/>
  <c r="F8" i="24"/>
  <c r="BE8" i="24" s="1"/>
  <c r="AT9" i="24"/>
  <c r="AP13" i="24"/>
  <c r="Z14" i="24"/>
  <c r="AT14" i="24"/>
  <c r="AT17" i="24"/>
  <c r="AP7" i="19"/>
  <c r="AI8" i="19"/>
  <c r="AY18" i="19"/>
  <c r="AD13" i="19"/>
  <c r="AD14" i="19"/>
  <c r="AD10" i="19"/>
  <c r="AD8" i="19"/>
  <c r="AU7" i="20"/>
  <c r="AU8" i="20"/>
  <c r="G10" i="20"/>
  <c r="AY10" i="20"/>
  <c r="BB11" i="20"/>
  <c r="BC12" i="20"/>
  <c r="S14" i="20"/>
  <c r="S13" i="20"/>
  <c r="S10" i="20"/>
  <c r="AY7" i="22"/>
  <c r="AX8" i="22"/>
  <c r="AM9" i="22"/>
  <c r="BC11" i="22"/>
  <c r="AX12" i="22"/>
  <c r="AY13" i="22"/>
  <c r="AY14" i="22"/>
  <c r="AX15" i="22"/>
  <c r="AT17" i="22"/>
  <c r="AX18" i="22"/>
  <c r="AP21" i="22"/>
  <c r="AX22" i="22"/>
  <c r="O8" i="22"/>
  <c r="O7" i="22"/>
  <c r="AE15" i="22"/>
  <c r="AE11" i="22"/>
  <c r="AE12" i="22"/>
  <c r="AE13" i="22"/>
  <c r="AY7" i="23"/>
  <c r="S9" i="23"/>
  <c r="AQ9" i="23"/>
  <c r="AI11" i="23"/>
  <c r="BC11" i="23"/>
  <c r="AY13" i="23"/>
  <c r="AH15" i="23"/>
  <c r="BC15" i="23"/>
  <c r="K17" i="23"/>
  <c r="AH18" i="23"/>
  <c r="BC18" i="23"/>
  <c r="W20" i="23"/>
  <c r="BC20" i="23"/>
  <c r="W22" i="23"/>
  <c r="BB10" i="24"/>
  <c r="AM12" i="24"/>
  <c r="J19" i="24"/>
  <c r="Z21" i="24"/>
  <c r="AT22" i="24"/>
  <c r="AA22" i="23"/>
  <c r="AA21" i="23"/>
  <c r="Z7" i="20"/>
  <c r="Z20" i="20"/>
  <c r="Z12" i="20"/>
  <c r="W7" i="20"/>
  <c r="AQ15" i="23"/>
  <c r="AU16" i="23"/>
  <c r="AM11" i="20"/>
  <c r="AP12" i="20"/>
  <c r="G15" i="20"/>
  <c r="AM16" i="20"/>
  <c r="K17" i="20"/>
  <c r="K9" i="20"/>
  <c r="BC17" i="20"/>
  <c r="AY14" i="20"/>
  <c r="AY11" i="20"/>
  <c r="BC10" i="20"/>
  <c r="AQ9" i="20"/>
  <c r="K7" i="23"/>
  <c r="BC8" i="23"/>
  <c r="AY9" i="23"/>
  <c r="AM18" i="19"/>
  <c r="AM15" i="19"/>
  <c r="AM7" i="19"/>
  <c r="G8" i="20"/>
  <c r="Z9" i="20"/>
  <c r="BB9" i="20"/>
  <c r="AP11" i="20"/>
  <c r="AU12" i="20"/>
  <c r="J15" i="20"/>
  <c r="AP16" i="20"/>
  <c r="AQ17" i="20"/>
  <c r="Z20" i="22"/>
  <c r="Z22" i="22"/>
  <c r="Z21" i="22"/>
  <c r="Z9" i="22"/>
  <c r="Z10" i="22"/>
  <c r="Z14" i="22"/>
  <c r="AQ7" i="23"/>
  <c r="AQ12" i="23"/>
  <c r="AQ20" i="23"/>
  <c r="K22" i="23"/>
  <c r="V22" i="23"/>
  <c r="V14" i="23"/>
  <c r="V13" i="23"/>
  <c r="R9" i="23"/>
  <c r="V10" i="23"/>
  <c r="V11" i="23"/>
  <c r="G20" i="24"/>
  <c r="BF20" i="24" s="1"/>
  <c r="G8" i="24"/>
  <c r="AM11" i="19"/>
  <c r="AM20" i="19"/>
  <c r="AM8" i="20"/>
  <c r="BC9" i="20"/>
  <c r="AU11" i="20"/>
  <c r="AY12" i="20"/>
  <c r="K15" i="20"/>
  <c r="G16" i="20"/>
  <c r="BF16" i="20" s="1"/>
  <c r="AU17" i="20"/>
  <c r="AT15" i="22"/>
  <c r="K8" i="22"/>
  <c r="K9" i="22"/>
  <c r="K7" i="22"/>
  <c r="BC17" i="22"/>
  <c r="AU14" i="22"/>
  <c r="AU10" i="22"/>
  <c r="AQ8" i="22"/>
  <c r="BC7" i="22"/>
  <c r="AU16" i="22"/>
  <c r="BC15" i="22"/>
  <c r="AQ13" i="22"/>
  <c r="AY12" i="22"/>
  <c r="AU11" i="22"/>
  <c r="AQ9" i="22"/>
  <c r="AY15" i="22"/>
  <c r="BC14" i="22"/>
  <c r="BC10" i="22"/>
  <c r="AP15" i="19"/>
  <c r="AM16" i="19"/>
  <c r="AE13" i="19"/>
  <c r="AE22" i="19"/>
  <c r="AE20" i="19"/>
  <c r="AE16" i="19"/>
  <c r="AY7" i="20"/>
  <c r="AM9" i="20"/>
  <c r="BC11" i="20"/>
  <c r="AQ14" i="20"/>
  <c r="K18" i="20"/>
  <c r="F17" i="20"/>
  <c r="F19" i="20"/>
  <c r="AY8" i="22"/>
  <c r="AU9" i="22"/>
  <c r="BC12" i="22"/>
  <c r="BB13" i="22"/>
  <c r="BB14" i="22"/>
  <c r="BB15" i="22"/>
  <c r="BB16" i="22"/>
  <c r="AU17" i="22"/>
  <c r="AT21" i="22"/>
  <c r="BB22" i="22"/>
  <c r="AH14" i="22"/>
  <c r="AH12" i="22"/>
  <c r="AH17" i="22"/>
  <c r="AH7" i="22"/>
  <c r="AH18" i="22"/>
  <c r="AH10" i="22"/>
  <c r="K11" i="22"/>
  <c r="AH7" i="23"/>
  <c r="V8" i="23"/>
  <c r="V9" i="23"/>
  <c r="K10" i="23"/>
  <c r="K11" i="23"/>
  <c r="AA12" i="23"/>
  <c r="AH13" i="23"/>
  <c r="AI14" i="23"/>
  <c r="BC14" i="23"/>
  <c r="S17" i="23"/>
  <c r="AY17" i="23"/>
  <c r="AI18" i="23"/>
  <c r="AI20" i="23"/>
  <c r="AU21" i="23"/>
  <c r="AH22" i="23"/>
  <c r="AP7" i="24"/>
  <c r="AT8" i="24"/>
  <c r="AX9" i="24"/>
  <c r="AP12" i="24"/>
  <c r="AT13" i="24"/>
  <c r="AP16" i="24"/>
  <c r="BB17" i="24"/>
  <c r="AT19" i="24"/>
  <c r="K22" i="24"/>
  <c r="K14" i="24"/>
  <c r="K13" i="24"/>
  <c r="AA22" i="24"/>
  <c r="AA12" i="24"/>
  <c r="AA16" i="24"/>
  <c r="AA10" i="24"/>
  <c r="AA8" i="24"/>
  <c r="AA7" i="24"/>
  <c r="AQ19" i="24"/>
  <c r="AY18" i="24"/>
  <c r="AY14" i="24"/>
  <c r="BC13" i="24"/>
  <c r="BC11" i="24"/>
  <c r="AU10" i="24"/>
  <c r="BC22" i="24"/>
  <c r="AQ21" i="24"/>
  <c r="AY20" i="24"/>
  <c r="BC17" i="24"/>
  <c r="AU16" i="24"/>
  <c r="BC15" i="24"/>
  <c r="AQ12" i="24"/>
  <c r="BC9" i="24"/>
  <c r="AU8" i="24"/>
  <c r="AU7" i="24"/>
  <c r="AD20" i="20"/>
  <c r="AD22" i="20"/>
  <c r="AD11" i="23"/>
  <c r="AD20" i="23"/>
  <c r="AQ7" i="24"/>
  <c r="K8" i="24"/>
  <c r="BC12" i="24"/>
  <c r="AU15" i="24"/>
  <c r="AU17" i="24"/>
  <c r="AU18" i="24"/>
  <c r="AU20" i="24"/>
  <c r="AU21" i="24"/>
  <c r="N22" i="24"/>
  <c r="N14" i="24"/>
  <c r="N13" i="24"/>
  <c r="N17" i="24"/>
  <c r="N11" i="24"/>
  <c r="N9" i="24"/>
  <c r="AD16" i="24"/>
  <c r="AD10" i="24"/>
  <c r="AD8" i="24"/>
  <c r="AD7" i="24"/>
  <c r="AD18" i="24"/>
  <c r="K10" i="24"/>
  <c r="K11" i="24"/>
  <c r="K12" i="24"/>
  <c r="BC14" i="24"/>
  <c r="AA15" i="24"/>
  <c r="AY16" i="24"/>
  <c r="AA17" i="24"/>
  <c r="AA19" i="24"/>
  <c r="AY19" i="24"/>
  <c r="AY22" i="24"/>
  <c r="O22" i="24"/>
  <c r="O17" i="24"/>
  <c r="O11" i="24"/>
  <c r="O9" i="24"/>
  <c r="O19" i="24"/>
  <c r="O15" i="24"/>
  <c r="AE18" i="24"/>
  <c r="AE20" i="24"/>
  <c r="AE14" i="24"/>
  <c r="AA20" i="24"/>
  <c r="Z10" i="24"/>
  <c r="Z13" i="24"/>
  <c r="Z19" i="24"/>
  <c r="Z9" i="24"/>
  <c r="Z11" i="24"/>
  <c r="Z12" i="24"/>
  <c r="Z17" i="24"/>
  <c r="Z18" i="24"/>
  <c r="AA21" i="24"/>
  <c r="AA7" i="23"/>
  <c r="AA8" i="23"/>
  <c r="AA9" i="23"/>
  <c r="AA10" i="23"/>
  <c r="AA16" i="23"/>
  <c r="AA17" i="23"/>
  <c r="AA11" i="23"/>
  <c r="AA13" i="23"/>
  <c r="AA14" i="23"/>
  <c r="AA15" i="23"/>
  <c r="AA20" i="23"/>
  <c r="Z20" i="23"/>
  <c r="AA9" i="22"/>
  <c r="AA10" i="22"/>
  <c r="AA11" i="22"/>
  <c r="AA12" i="22"/>
  <c r="AA13" i="22"/>
  <c r="AA7" i="22"/>
  <c r="AA14" i="22"/>
  <c r="AA15" i="22"/>
  <c r="AA16" i="22"/>
  <c r="AA8" i="22"/>
  <c r="Z16" i="22"/>
  <c r="Z17" i="22"/>
  <c r="Z7" i="22"/>
  <c r="Z8" i="22"/>
  <c r="Z13" i="22"/>
  <c r="Z15" i="22"/>
  <c r="Z18" i="22"/>
  <c r="Z19" i="22"/>
  <c r="Z8" i="19"/>
  <c r="Z12" i="19"/>
  <c r="Z14" i="19"/>
  <c r="Z16" i="19"/>
  <c r="O10" i="23"/>
  <c r="O7" i="23"/>
  <c r="O19" i="23"/>
  <c r="O18" i="23"/>
  <c r="O17" i="23"/>
  <c r="O16" i="23"/>
  <c r="O15" i="23"/>
  <c r="O9" i="23"/>
  <c r="O20" i="23"/>
  <c r="O14" i="23"/>
  <c r="O13" i="23"/>
  <c r="O12" i="23"/>
  <c r="O8" i="23"/>
  <c r="O21" i="23"/>
  <c r="AH9" i="20"/>
  <c r="AH12" i="20"/>
  <c r="AH13" i="20"/>
  <c r="AH17" i="20"/>
  <c r="AH21" i="20"/>
  <c r="AI17" i="20"/>
  <c r="W16" i="20"/>
  <c r="AE10" i="23"/>
  <c r="AE7" i="23"/>
  <c r="AE22" i="23"/>
  <c r="AE9" i="23"/>
  <c r="AE19" i="23"/>
  <c r="AE18" i="23"/>
  <c r="AE17" i="23"/>
  <c r="AE16" i="23"/>
  <c r="AE15" i="23"/>
  <c r="AE14" i="23"/>
  <c r="AE13" i="23"/>
  <c r="AE12" i="23"/>
  <c r="AE8" i="23"/>
  <c r="AE20" i="23"/>
  <c r="AH8" i="20"/>
  <c r="V9" i="20"/>
  <c r="V16" i="20"/>
  <c r="V10" i="20"/>
  <c r="V17" i="20"/>
  <c r="V11" i="20"/>
  <c r="V18" i="20"/>
  <c r="V12" i="20"/>
  <c r="V19" i="20"/>
  <c r="V13" i="20"/>
  <c r="V20" i="20"/>
  <c r="V21" i="20"/>
  <c r="AL20" i="20"/>
  <c r="AL22" i="20"/>
  <c r="AL21" i="20"/>
  <c r="F21" i="24"/>
  <c r="BE21" i="24" s="1"/>
  <c r="F20" i="24"/>
  <c r="F19" i="24"/>
  <c r="BE19" i="24" s="1"/>
  <c r="F18" i="24"/>
  <c r="F7" i="24"/>
  <c r="F17" i="24"/>
  <c r="BE17" i="24" s="1"/>
  <c r="F16" i="24"/>
  <c r="F15" i="24"/>
  <c r="BE15" i="24" s="1"/>
  <c r="F14" i="24"/>
  <c r="F13" i="24"/>
  <c r="F12" i="24"/>
  <c r="BE12" i="24" s="1"/>
  <c r="F11" i="24"/>
  <c r="V14" i="24"/>
  <c r="V22" i="24"/>
  <c r="V8" i="24"/>
  <c r="V15" i="24"/>
  <c r="V7" i="24"/>
  <c r="V9" i="24"/>
  <c r="V16" i="24"/>
  <c r="V10" i="24"/>
  <c r="V17" i="24"/>
  <c r="V11" i="24"/>
  <c r="V18" i="24"/>
  <c r="V12" i="24"/>
  <c r="V19" i="24"/>
  <c r="AL11" i="24"/>
  <c r="AL10" i="24"/>
  <c r="AL9" i="24"/>
  <c r="AL8" i="24"/>
  <c r="AL22" i="24"/>
  <c r="AL21" i="24"/>
  <c r="AL20" i="24"/>
  <c r="AL19" i="24"/>
  <c r="AL7" i="24"/>
  <c r="AL18" i="24"/>
  <c r="AL17" i="24"/>
  <c r="AL16" i="24"/>
  <c r="AL15" i="24"/>
  <c r="AH19" i="20"/>
  <c r="AH18" i="20"/>
  <c r="AH20" i="20"/>
  <c r="AH11" i="20"/>
  <c r="AH11" i="19"/>
  <c r="AH14" i="19"/>
  <c r="AX14" i="19"/>
  <c r="R11" i="20"/>
  <c r="R12" i="20"/>
  <c r="R13" i="20"/>
  <c r="AH15" i="20"/>
  <c r="R18" i="20"/>
  <c r="W10" i="20"/>
  <c r="W17" i="20"/>
  <c r="W11" i="20"/>
  <c r="W18" i="20"/>
  <c r="W12" i="20"/>
  <c r="W19" i="20"/>
  <c r="W13" i="20"/>
  <c r="W20" i="20"/>
  <c r="W21" i="20"/>
  <c r="W14" i="20"/>
  <c r="W22" i="20"/>
  <c r="AM17" i="20"/>
  <c r="AM14" i="20"/>
  <c r="V7" i="20"/>
  <c r="W9" i="20"/>
  <c r="F8" i="22"/>
  <c r="F7" i="22"/>
  <c r="AL19" i="22"/>
  <c r="AL16" i="22"/>
  <c r="AL9" i="22"/>
  <c r="AL18" i="22"/>
  <c r="AL15" i="22"/>
  <c r="AL8" i="22"/>
  <c r="AL14" i="22"/>
  <c r="AL7" i="22"/>
  <c r="AL13" i="22"/>
  <c r="AL22" i="22"/>
  <c r="AL12" i="22"/>
  <c r="G19" i="24"/>
  <c r="BF19" i="24" s="1"/>
  <c r="G18" i="24"/>
  <c r="BF18" i="24" s="1"/>
  <c r="G7" i="24"/>
  <c r="G17" i="24"/>
  <c r="BF17" i="24" s="1"/>
  <c r="G16" i="24"/>
  <c r="BF16" i="24" s="1"/>
  <c r="G15" i="24"/>
  <c r="BF15" i="24" s="1"/>
  <c r="G14" i="24"/>
  <c r="BF14" i="24" s="1"/>
  <c r="G13" i="24"/>
  <c r="BF13" i="24" s="1"/>
  <c r="G12" i="24"/>
  <c r="BF12" i="24" s="1"/>
  <c r="G11" i="24"/>
  <c r="BF11" i="24" s="1"/>
  <c r="G10" i="24"/>
  <c r="BF10" i="24" s="1"/>
  <c r="G9" i="24"/>
  <c r="BF9" i="24" s="1"/>
  <c r="W8" i="24"/>
  <c r="W15" i="24"/>
  <c r="W7" i="24"/>
  <c r="W9" i="24"/>
  <c r="W11" i="24"/>
  <c r="W18" i="24"/>
  <c r="W12" i="24"/>
  <c r="W13" i="24"/>
  <c r="W20" i="24"/>
  <c r="AM9" i="24"/>
  <c r="AM8" i="24"/>
  <c r="AM22" i="24"/>
  <c r="AM21" i="24"/>
  <c r="AM20" i="24"/>
  <c r="AM19" i="24"/>
  <c r="AM7" i="24"/>
  <c r="AM18" i="24"/>
  <c r="AM17" i="24"/>
  <c r="AM16" i="24"/>
  <c r="AM15" i="24"/>
  <c r="AM14" i="24"/>
  <c r="V13" i="24"/>
  <c r="J22" i="20"/>
  <c r="J18" i="20"/>
  <c r="AX22" i="20"/>
  <c r="AT22" i="20"/>
  <c r="AT21" i="20"/>
  <c r="AP20" i="20"/>
  <c r="AP14" i="20"/>
  <c r="AT16" i="20"/>
  <c r="V22" i="20"/>
  <c r="W8" i="20"/>
  <c r="G8" i="22"/>
  <c r="G13" i="22"/>
  <c r="G14" i="22"/>
  <c r="G16" i="22"/>
  <c r="G7" i="22"/>
  <c r="G18" i="22"/>
  <c r="G20" i="22"/>
  <c r="G22" i="22"/>
  <c r="AM15" i="22"/>
  <c r="AM8" i="22"/>
  <c r="AM14" i="22"/>
  <c r="AM7" i="22"/>
  <c r="AM13" i="22"/>
  <c r="AM12" i="22"/>
  <c r="AM11" i="22"/>
  <c r="O11" i="23"/>
  <c r="AE11" i="23"/>
  <c r="AE21" i="23"/>
  <c r="AH16" i="20"/>
  <c r="AH10" i="20"/>
  <c r="Z13" i="20"/>
  <c r="AP13" i="20"/>
  <c r="AT14" i="20"/>
  <c r="AM15" i="20"/>
  <c r="Z16" i="20"/>
  <c r="AX16" i="20"/>
  <c r="Z17" i="20"/>
  <c r="Z18" i="20"/>
  <c r="Z22" i="20"/>
  <c r="AA7" i="20"/>
  <c r="AA16" i="20"/>
  <c r="AA15" i="20"/>
  <c r="AU16" i="20"/>
  <c r="BC15" i="20"/>
  <c r="AY15" i="20"/>
  <c r="BC14" i="20"/>
  <c r="AU13" i="20"/>
  <c r="V15" i="20"/>
  <c r="AL21" i="22"/>
  <c r="G11" i="22"/>
  <c r="AL13" i="24"/>
  <c r="F22" i="24"/>
  <c r="BE22" i="24" s="1"/>
  <c r="W19" i="24"/>
  <c r="W21" i="24"/>
  <c r="AH8" i="19"/>
  <c r="AI18" i="19"/>
  <c r="AQ20" i="19"/>
  <c r="J7" i="19"/>
  <c r="AT8" i="19"/>
  <c r="AM9" i="19"/>
  <c r="AH10" i="19"/>
  <c r="AX10" i="19"/>
  <c r="AU11" i="19"/>
  <c r="AM12" i="19"/>
  <c r="AY13" i="19"/>
  <c r="AM14" i="19"/>
  <c r="AX15" i="19"/>
  <c r="AH16" i="19"/>
  <c r="AX16" i="19"/>
  <c r="AL17" i="19"/>
  <c r="AL18" i="19"/>
  <c r="AM19" i="19"/>
  <c r="AU20" i="19"/>
  <c r="AY21" i="19"/>
  <c r="K7" i="20"/>
  <c r="AH7" i="20"/>
  <c r="AA8" i="20"/>
  <c r="AY8" i="20"/>
  <c r="AA9" i="20"/>
  <c r="AT9" i="20"/>
  <c r="K10" i="20"/>
  <c r="AI10" i="20"/>
  <c r="G11" i="20"/>
  <c r="BF11" i="20" s="1"/>
  <c r="AA11" i="20"/>
  <c r="AQ11" i="20"/>
  <c r="G12" i="20"/>
  <c r="BF12" i="20" s="1"/>
  <c r="AA12" i="20"/>
  <c r="AQ12" i="20"/>
  <c r="F13" i="20"/>
  <c r="AA13" i="20"/>
  <c r="AQ13" i="20"/>
  <c r="Z14" i="20"/>
  <c r="AU14" i="20"/>
  <c r="AQ15" i="20"/>
  <c r="AY16" i="20"/>
  <c r="AA17" i="20"/>
  <c r="AT19" i="20"/>
  <c r="F21" i="20"/>
  <c r="V14" i="20"/>
  <c r="AM16" i="22"/>
  <c r="AL17" i="22"/>
  <c r="G9" i="22"/>
  <c r="AM13" i="24"/>
  <c r="G22" i="24"/>
  <c r="BF22" i="24" s="1"/>
  <c r="W17" i="24"/>
  <c r="W14" i="24"/>
  <c r="AI14" i="19"/>
  <c r="AT15" i="19"/>
  <c r="AT16" i="19"/>
  <c r="AH9" i="19"/>
  <c r="AL14" i="19"/>
  <c r="AI17" i="19"/>
  <c r="AI19" i="19"/>
  <c r="AU21" i="19"/>
  <c r="AT7" i="19"/>
  <c r="AU7" i="19"/>
  <c r="AU8" i="19"/>
  <c r="AQ9" i="19"/>
  <c r="AI10" i="19"/>
  <c r="AY10" i="19"/>
  <c r="AY11" i="19"/>
  <c r="AQ12" i="19"/>
  <c r="AP14" i="19"/>
  <c r="AY15" i="19"/>
  <c r="AI16" i="19"/>
  <c r="AY16" i="19"/>
  <c r="AM17" i="19"/>
  <c r="AQ19" i="19"/>
  <c r="AY20" i="19"/>
  <c r="AI7" i="20"/>
  <c r="BC8" i="20"/>
  <c r="AU9" i="20"/>
  <c r="AM10" i="20"/>
  <c r="J11" i="20"/>
  <c r="AT11" i="20"/>
  <c r="J12" i="20"/>
  <c r="AT12" i="20"/>
  <c r="G13" i="20"/>
  <c r="BF13" i="20" s="1"/>
  <c r="AT13" i="20"/>
  <c r="AA14" i="20"/>
  <c r="AX14" i="20"/>
  <c r="S15" i="20"/>
  <c r="AU15" i="20"/>
  <c r="BB16" i="20"/>
  <c r="F18" i="20"/>
  <c r="BE18" i="20" s="1"/>
  <c r="AL18" i="20"/>
  <c r="BB19" i="20"/>
  <c r="Z21" i="20"/>
  <c r="AH22" i="20"/>
  <c r="V8" i="20"/>
  <c r="AM17" i="22"/>
  <c r="N22" i="23"/>
  <c r="N10" i="23"/>
  <c r="N7" i="23"/>
  <c r="N19" i="23"/>
  <c r="N18" i="23"/>
  <c r="N17" i="23"/>
  <c r="N16" i="23"/>
  <c r="N15" i="23"/>
  <c r="N9" i="23"/>
  <c r="N12" i="23"/>
  <c r="N8" i="23"/>
  <c r="AD21" i="23"/>
  <c r="AD10" i="23"/>
  <c r="AD7" i="23"/>
  <c r="AD22" i="23"/>
  <c r="AD9" i="23"/>
  <c r="AD19" i="23"/>
  <c r="AD18" i="23"/>
  <c r="AD17" i="23"/>
  <c r="AD16" i="23"/>
  <c r="AD15" i="23"/>
  <c r="AD14" i="23"/>
  <c r="AD13" i="23"/>
  <c r="AD12" i="23"/>
  <c r="AD8" i="23"/>
  <c r="F10" i="24"/>
  <c r="BE10" i="24" s="1"/>
  <c r="AL12" i="24"/>
  <c r="G21" i="24"/>
  <c r="BF21" i="24" s="1"/>
  <c r="W16" i="24"/>
  <c r="AI13" i="22"/>
  <c r="AE14" i="22"/>
  <c r="AD15" i="22"/>
  <c r="K22" i="22"/>
  <c r="AA18" i="23"/>
  <c r="AQ18" i="23"/>
  <c r="F19" i="23"/>
  <c r="AA19" i="23"/>
  <c r="AQ19" i="23"/>
  <c r="AU20" i="23"/>
  <c r="AY21" i="23"/>
  <c r="BC22" i="23"/>
  <c r="N24" i="24"/>
  <c r="K20" i="22"/>
  <c r="J15" i="23"/>
  <c r="J16" i="23"/>
  <c r="AT16" i="23"/>
  <c r="J17" i="23"/>
  <c r="AT17" i="23"/>
  <c r="J18" i="23"/>
  <c r="AT18" i="23"/>
  <c r="AT19" i="23"/>
  <c r="AX20" i="23"/>
  <c r="BB21" i="23"/>
  <c r="Z22" i="23"/>
  <c r="AP22" i="23"/>
  <c r="BD24" i="23"/>
  <c r="AP21" i="23"/>
  <c r="BD24" i="24"/>
  <c r="J9" i="24"/>
  <c r="BE9" i="24" s="1"/>
  <c r="J11" i="24"/>
  <c r="J13" i="24"/>
  <c r="J14" i="24"/>
  <c r="J16" i="24"/>
  <c r="J18" i="24"/>
  <c r="J20" i="24"/>
  <c r="BF7" i="24"/>
  <c r="BF24" i="24" s="1"/>
  <c r="R15" i="23"/>
  <c r="V15" i="23"/>
  <c r="R16" i="23"/>
  <c r="V16" i="23"/>
  <c r="R17" i="23"/>
  <c r="V17" i="23"/>
  <c r="R18" i="23"/>
  <c r="V18" i="23"/>
  <c r="R19" i="23"/>
  <c r="V19" i="23"/>
  <c r="R20" i="23"/>
  <c r="V20" i="23"/>
  <c r="R21" i="23"/>
  <c r="V21" i="23"/>
  <c r="R22" i="23"/>
  <c r="N21" i="23"/>
  <c r="N13" i="23"/>
  <c r="N14" i="23"/>
  <c r="N20" i="23"/>
  <c r="J12" i="23"/>
  <c r="J13" i="23"/>
  <c r="J14" i="23"/>
  <c r="J19" i="23"/>
  <c r="BE19" i="23" s="1"/>
  <c r="J20" i="23"/>
  <c r="J21" i="23"/>
  <c r="F10" i="23"/>
  <c r="F17" i="23"/>
  <c r="F21" i="23"/>
  <c r="F9" i="23"/>
  <c r="F11" i="23"/>
  <c r="F13" i="23"/>
  <c r="F14" i="23"/>
  <c r="F16" i="23"/>
  <c r="F18" i="23"/>
  <c r="F20" i="23"/>
  <c r="F22" i="22"/>
  <c r="F20" i="22"/>
  <c r="F18" i="22"/>
  <c r="F16" i="22"/>
  <c r="F14" i="22"/>
  <c r="F13" i="22"/>
  <c r="F11" i="22"/>
  <c r="F9" i="22"/>
  <c r="F21" i="22"/>
  <c r="F19" i="22"/>
  <c r="F17" i="22"/>
  <c r="F15" i="22"/>
  <c r="F12" i="22"/>
  <c r="F10" i="22"/>
  <c r="G21" i="22"/>
  <c r="G19" i="22"/>
  <c r="G17" i="22"/>
  <c r="G15" i="22"/>
  <c r="G12" i="22"/>
  <c r="G10" i="22"/>
  <c r="J22" i="22"/>
  <c r="J20" i="22"/>
  <c r="J18" i="22"/>
  <c r="J16" i="22"/>
  <c r="J14" i="22"/>
  <c r="J13" i="22"/>
  <c r="J11" i="22"/>
  <c r="J9" i="22"/>
  <c r="J21" i="22"/>
  <c r="J19" i="22"/>
  <c r="J17" i="22"/>
  <c r="J15" i="22"/>
  <c r="J12" i="22"/>
  <c r="J10" i="22"/>
  <c r="K21" i="22"/>
  <c r="K19" i="22"/>
  <c r="K17" i="22"/>
  <c r="K15" i="22"/>
  <c r="K12" i="22"/>
  <c r="K10" i="22"/>
  <c r="N22" i="22"/>
  <c r="N20" i="22"/>
  <c r="N18" i="22"/>
  <c r="N16" i="22"/>
  <c r="N14" i="22"/>
  <c r="N13" i="22"/>
  <c r="N11" i="22"/>
  <c r="N9" i="22"/>
  <c r="O22" i="22"/>
  <c r="O20" i="22"/>
  <c r="O18" i="22"/>
  <c r="O16" i="22"/>
  <c r="O14" i="22"/>
  <c r="O13" i="22"/>
  <c r="O11" i="22"/>
  <c r="O9" i="22"/>
  <c r="N21" i="22"/>
  <c r="N19" i="22"/>
  <c r="N17" i="22"/>
  <c r="N15" i="22"/>
  <c r="N12" i="22"/>
  <c r="N10" i="22"/>
  <c r="O21" i="22"/>
  <c r="O19" i="22"/>
  <c r="O17" i="22"/>
  <c r="O15" i="22"/>
  <c r="O12" i="22"/>
  <c r="O10" i="22"/>
  <c r="R22" i="22"/>
  <c r="R20" i="22"/>
  <c r="R18" i="22"/>
  <c r="R16" i="22"/>
  <c r="R14" i="22"/>
  <c r="R13" i="22"/>
  <c r="R11" i="22"/>
  <c r="R9" i="22"/>
  <c r="S22" i="22"/>
  <c r="S20" i="22"/>
  <c r="S18" i="22"/>
  <c r="S16" i="22"/>
  <c r="S14" i="22"/>
  <c r="S13" i="22"/>
  <c r="S11" i="22"/>
  <c r="S9" i="22"/>
  <c r="V22" i="22"/>
  <c r="V20" i="22"/>
  <c r="V18" i="22"/>
  <c r="V16" i="22"/>
  <c r="V14" i="22"/>
  <c r="V13" i="22"/>
  <c r="V11" i="22"/>
  <c r="V9" i="22"/>
  <c r="W22" i="22"/>
  <c r="W20" i="22"/>
  <c r="W18" i="22"/>
  <c r="W16" i="22"/>
  <c r="W14" i="22"/>
  <c r="W13" i="22"/>
  <c r="W11" i="22"/>
  <c r="W9" i="22"/>
  <c r="R21" i="22"/>
  <c r="R19" i="22"/>
  <c r="R17" i="22"/>
  <c r="R15" i="22"/>
  <c r="R12" i="22"/>
  <c r="R10" i="22"/>
  <c r="R8" i="22"/>
  <c r="S21" i="22"/>
  <c r="S19" i="22"/>
  <c r="S17" i="22"/>
  <c r="S15" i="22"/>
  <c r="S12" i="22"/>
  <c r="S10" i="22"/>
  <c r="S8" i="22"/>
  <c r="V21" i="22"/>
  <c r="V19" i="22"/>
  <c r="V17" i="22"/>
  <c r="V15" i="22"/>
  <c r="V12" i="22"/>
  <c r="V10" i="22"/>
  <c r="W21" i="22"/>
  <c r="W19" i="22"/>
  <c r="W17" i="22"/>
  <c r="W15" i="22"/>
  <c r="W12" i="22"/>
  <c r="W10" i="22"/>
  <c r="AA22" i="22"/>
  <c r="AA21" i="22"/>
  <c r="AA20" i="22"/>
  <c r="AA19" i="22"/>
  <c r="AA18" i="22"/>
  <c r="AI22" i="22"/>
  <c r="AI21" i="22"/>
  <c r="AI20" i="22"/>
  <c r="AI19" i="22"/>
  <c r="AI18" i="22"/>
  <c r="BC22" i="22"/>
  <c r="AY22" i="22"/>
  <c r="AU22" i="22"/>
  <c r="AQ22" i="22"/>
  <c r="BC21" i="22"/>
  <c r="AY21" i="22"/>
  <c r="AU21" i="22"/>
  <c r="AQ21" i="22"/>
  <c r="BC20" i="22"/>
  <c r="AY20" i="22"/>
  <c r="AU20" i="22"/>
  <c r="AQ20" i="22"/>
  <c r="BC19" i="22"/>
  <c r="AY19" i="22"/>
  <c r="AU19" i="22"/>
  <c r="AQ19" i="22"/>
  <c r="BC18" i="22"/>
  <c r="AY18" i="22"/>
  <c r="AU18" i="22"/>
  <c r="AQ18" i="22"/>
  <c r="BD24" i="22"/>
  <c r="AE22" i="22"/>
  <c r="AE21" i="22"/>
  <c r="AE20" i="22"/>
  <c r="AE19" i="22"/>
  <c r="AE18" i="22"/>
  <c r="AM22" i="22"/>
  <c r="AM21" i="22"/>
  <c r="AM20" i="22"/>
  <c r="AM19" i="22"/>
  <c r="AM18" i="22"/>
  <c r="R20" i="20"/>
  <c r="R21" i="20"/>
  <c r="O8" i="20"/>
  <c r="O9" i="20"/>
  <c r="O15" i="20"/>
  <c r="N9" i="20"/>
  <c r="N14" i="20"/>
  <c r="N16" i="20"/>
  <c r="N20" i="20"/>
  <c r="N22" i="20"/>
  <c r="AP7" i="20"/>
  <c r="AT7" i="20"/>
  <c r="AX7" i="20"/>
  <c r="BB7" i="20"/>
  <c r="AP8" i="20"/>
  <c r="AT8" i="20"/>
  <c r="AX8" i="20"/>
  <c r="BB8" i="20"/>
  <c r="AP10" i="20"/>
  <c r="AT10" i="20"/>
  <c r="AX10" i="20"/>
  <c r="BB10" i="20"/>
  <c r="AP15" i="20"/>
  <c r="AT15" i="20"/>
  <c r="AX15" i="20"/>
  <c r="BB15" i="20"/>
  <c r="AP17" i="20"/>
  <c r="AT17" i="20"/>
  <c r="AX17" i="20"/>
  <c r="BB17" i="20"/>
  <c r="AP18" i="20"/>
  <c r="AX18" i="20"/>
  <c r="AP19" i="20"/>
  <c r="AX19" i="20"/>
  <c r="AT20" i="20"/>
  <c r="BB20" i="20"/>
  <c r="AP21" i="20"/>
  <c r="AX21" i="20"/>
  <c r="AP22" i="20"/>
  <c r="AL8" i="20"/>
  <c r="AL9" i="20"/>
  <c r="AL10" i="20"/>
  <c r="AL14" i="20"/>
  <c r="AL15" i="20"/>
  <c r="AL16" i="20"/>
  <c r="AL17" i="20"/>
  <c r="AL19" i="20"/>
  <c r="R8" i="20"/>
  <c r="R9" i="20"/>
  <c r="R10" i="20"/>
  <c r="R14" i="20"/>
  <c r="R15" i="20"/>
  <c r="R16" i="20"/>
  <c r="R17" i="20"/>
  <c r="R19" i="20"/>
  <c r="N7" i="20"/>
  <c r="N10" i="20"/>
  <c r="N17" i="20"/>
  <c r="N19" i="20"/>
  <c r="J7" i="20"/>
  <c r="J9" i="20"/>
  <c r="BE9" i="20" s="1"/>
  <c r="J10" i="20"/>
  <c r="J13" i="20"/>
  <c r="J16" i="20"/>
  <c r="J17" i="20"/>
  <c r="J19" i="20"/>
  <c r="J20" i="20"/>
  <c r="J21" i="20"/>
  <c r="F7" i="20"/>
  <c r="BD24" i="20"/>
  <c r="F8" i="20"/>
  <c r="BE8" i="20" s="1"/>
  <c r="F10" i="20"/>
  <c r="BE10" i="20" s="1"/>
  <c r="F12" i="20"/>
  <c r="BE12" i="20" s="1"/>
  <c r="F15" i="20"/>
  <c r="BE15" i="20" s="1"/>
  <c r="BE19" i="20"/>
  <c r="K22" i="20"/>
  <c r="K21" i="20"/>
  <c r="K20" i="20"/>
  <c r="K19" i="20"/>
  <c r="S22" i="20"/>
  <c r="S21" i="20"/>
  <c r="S20" i="20"/>
  <c r="S19" i="20"/>
  <c r="AA22" i="20"/>
  <c r="AA21" i="20"/>
  <c r="AA20" i="20"/>
  <c r="AA19" i="20"/>
  <c r="AA18" i="20"/>
  <c r="AI22" i="20"/>
  <c r="AI21" i="20"/>
  <c r="AI20" i="20"/>
  <c r="AI19" i="20"/>
  <c r="AI18" i="20"/>
  <c r="BC22" i="20"/>
  <c r="AY22" i="20"/>
  <c r="AU22" i="20"/>
  <c r="AQ22" i="20"/>
  <c r="BC21" i="20"/>
  <c r="AY21" i="20"/>
  <c r="AU21" i="20"/>
  <c r="AQ21" i="20"/>
  <c r="BC20" i="20"/>
  <c r="AY20" i="20"/>
  <c r="AU20" i="20"/>
  <c r="AQ20" i="20"/>
  <c r="BC19" i="20"/>
  <c r="AY19" i="20"/>
  <c r="AU19" i="20"/>
  <c r="AQ19" i="20"/>
  <c r="BC18" i="20"/>
  <c r="AY18" i="20"/>
  <c r="AU18" i="20"/>
  <c r="AQ18" i="20"/>
  <c r="G22" i="20"/>
  <c r="G21" i="20"/>
  <c r="G20" i="20"/>
  <c r="G19" i="20"/>
  <c r="O22" i="20"/>
  <c r="O21" i="20"/>
  <c r="O20" i="20"/>
  <c r="O19" i="20"/>
  <c r="AE22" i="20"/>
  <c r="AE21" i="20"/>
  <c r="AE20" i="20"/>
  <c r="AE19" i="20"/>
  <c r="AE18" i="20"/>
  <c r="AM22" i="20"/>
  <c r="AM21" i="20"/>
  <c r="AM20" i="20"/>
  <c r="AM19" i="20"/>
  <c r="AM18" i="20"/>
  <c r="J22" i="19"/>
  <c r="J18" i="19"/>
  <c r="J14" i="19"/>
  <c r="J11" i="19"/>
  <c r="R22" i="19"/>
  <c r="R18" i="19"/>
  <c r="R14" i="19"/>
  <c r="R11" i="19"/>
  <c r="V22" i="19"/>
  <c r="V18" i="19"/>
  <c r="V14" i="19"/>
  <c r="V11" i="19"/>
  <c r="V7" i="19"/>
  <c r="AH7" i="19"/>
  <c r="AD9" i="19"/>
  <c r="AL9" i="19"/>
  <c r="AP9" i="19"/>
  <c r="AT9" i="19"/>
  <c r="AX9" i="19"/>
  <c r="AD11" i="19"/>
  <c r="AL11" i="19"/>
  <c r="AP11" i="19"/>
  <c r="AT11" i="19"/>
  <c r="AX11" i="19"/>
  <c r="AD12" i="19"/>
  <c r="AL12" i="19"/>
  <c r="AL13" i="19"/>
  <c r="AP13" i="19"/>
  <c r="AT13" i="19"/>
  <c r="AX13" i="19"/>
  <c r="AH15" i="19"/>
  <c r="J20" i="19"/>
  <c r="J16" i="19"/>
  <c r="J13" i="19"/>
  <c r="J9" i="19"/>
  <c r="R20" i="19"/>
  <c r="R16" i="19"/>
  <c r="R13" i="19"/>
  <c r="R9" i="19"/>
  <c r="V20" i="19"/>
  <c r="V16" i="19"/>
  <c r="V13" i="19"/>
  <c r="V9" i="19"/>
  <c r="Z10" i="19"/>
  <c r="W8" i="19"/>
  <c r="W10" i="19"/>
  <c r="W12" i="19"/>
  <c r="W15" i="19"/>
  <c r="W17" i="19"/>
  <c r="W19" i="19"/>
  <c r="W21" i="19"/>
  <c r="S8" i="19"/>
  <c r="S10" i="19"/>
  <c r="S12" i="19"/>
  <c r="S15" i="19"/>
  <c r="S17" i="19"/>
  <c r="S19" i="19"/>
  <c r="S21" i="19"/>
  <c r="S7" i="19"/>
  <c r="W7" i="19"/>
  <c r="O8" i="19"/>
  <c r="O10" i="19"/>
  <c r="O12" i="19"/>
  <c r="O15" i="19"/>
  <c r="O17" i="19"/>
  <c r="O19" i="19"/>
  <c r="O21" i="19"/>
  <c r="Y24" i="19"/>
  <c r="AA13" i="19" s="1"/>
  <c r="F8" i="19"/>
  <c r="F10" i="19"/>
  <c r="F12" i="19"/>
  <c r="F15" i="19"/>
  <c r="F17" i="19"/>
  <c r="F19" i="19"/>
  <c r="F21" i="19"/>
  <c r="N8" i="19"/>
  <c r="N10" i="19"/>
  <c r="N12" i="19"/>
  <c r="N15" i="19"/>
  <c r="N17" i="19"/>
  <c r="N19" i="19"/>
  <c r="N21" i="19"/>
  <c r="F22" i="19"/>
  <c r="F18" i="19"/>
  <c r="F14" i="19"/>
  <c r="F11" i="19"/>
  <c r="N22" i="19"/>
  <c r="N18" i="19"/>
  <c r="N14" i="19"/>
  <c r="N11" i="19"/>
  <c r="O22" i="19"/>
  <c r="O18" i="19"/>
  <c r="O14" i="19"/>
  <c r="O11" i="19"/>
  <c r="S22" i="19"/>
  <c r="S18" i="19"/>
  <c r="S14" i="19"/>
  <c r="S11" i="19"/>
  <c r="W22" i="19"/>
  <c r="W18" i="19"/>
  <c r="W14" i="19"/>
  <c r="W11" i="19"/>
  <c r="F20" i="19"/>
  <c r="F16" i="19"/>
  <c r="F13" i="19"/>
  <c r="F9" i="19"/>
  <c r="N20" i="19"/>
  <c r="N16" i="19"/>
  <c r="N13" i="19"/>
  <c r="N9" i="19"/>
  <c r="O20" i="19"/>
  <c r="O16" i="19"/>
  <c r="O13" i="19"/>
  <c r="O9" i="19"/>
  <c r="S20" i="19"/>
  <c r="S16" i="19"/>
  <c r="S13" i="19"/>
  <c r="S9" i="19"/>
  <c r="W20" i="19"/>
  <c r="W16" i="19"/>
  <c r="W13" i="19"/>
  <c r="W9" i="19"/>
  <c r="J21" i="19"/>
  <c r="J19" i="19"/>
  <c r="J17" i="19"/>
  <c r="J15" i="19"/>
  <c r="J12" i="19"/>
  <c r="J10" i="19"/>
  <c r="R21" i="19"/>
  <c r="R19" i="19"/>
  <c r="R17" i="19"/>
  <c r="R15" i="19"/>
  <c r="R12" i="19"/>
  <c r="R10" i="19"/>
  <c r="R8" i="19"/>
  <c r="V21" i="19"/>
  <c r="V19" i="19"/>
  <c r="V17" i="19"/>
  <c r="V15" i="19"/>
  <c r="V12" i="19"/>
  <c r="V10" i="19"/>
  <c r="Z13" i="19"/>
  <c r="Z7" i="19"/>
  <c r="AE7" i="19"/>
  <c r="AI7" i="19"/>
  <c r="Z9" i="19"/>
  <c r="AE9" i="19"/>
  <c r="AI9" i="19"/>
  <c r="Z11" i="19"/>
  <c r="AE11" i="19"/>
  <c r="AI11" i="19"/>
  <c r="AI12" i="19"/>
  <c r="Z15" i="19"/>
  <c r="AE15" i="19"/>
  <c r="AI15" i="19"/>
  <c r="Z17" i="19"/>
  <c r="AE17" i="19"/>
  <c r="AE18" i="19"/>
  <c r="AE19" i="19"/>
  <c r="AI20" i="19"/>
  <c r="AI21" i="19"/>
  <c r="AI22" i="19"/>
  <c r="B15" i="19"/>
  <c r="B16" i="19" s="1"/>
  <c r="B17" i="19" s="1"/>
  <c r="B18" i="19" s="1"/>
  <c r="B19" i="19" s="1"/>
  <c r="B20" i="19" s="1"/>
  <c r="B21" i="19" s="1"/>
  <c r="B22" i="19" s="1"/>
  <c r="E24" i="19"/>
  <c r="BD12" i="19"/>
  <c r="O7" i="19"/>
  <c r="BD13" i="19"/>
  <c r="AH22" i="19"/>
  <c r="AH21" i="19"/>
  <c r="AH20" i="19"/>
  <c r="AH19" i="19"/>
  <c r="AX22" i="19"/>
  <c r="AT22" i="19"/>
  <c r="AP22" i="19"/>
  <c r="AX21" i="19"/>
  <c r="AT21" i="19"/>
  <c r="AP21" i="19"/>
  <c r="AX20" i="19"/>
  <c r="AT20" i="19"/>
  <c r="AP20" i="19"/>
  <c r="AX19" i="19"/>
  <c r="AT19" i="19"/>
  <c r="AP19" i="19"/>
  <c r="I24" i="19"/>
  <c r="AH12" i="19"/>
  <c r="AP12" i="19"/>
  <c r="AT12" i="19"/>
  <c r="AX12" i="19"/>
  <c r="AH17" i="19"/>
  <c r="AP17" i="19"/>
  <c r="AT17" i="19"/>
  <c r="AX17" i="19"/>
  <c r="AH18" i="19"/>
  <c r="AP18" i="19"/>
  <c r="AT18" i="19"/>
  <c r="AX18" i="19"/>
  <c r="BD19" i="19"/>
  <c r="Z22" i="19"/>
  <c r="Z21" i="19"/>
  <c r="Z20" i="19"/>
  <c r="Z19" i="19"/>
  <c r="AD22" i="19"/>
  <c r="AD21" i="19"/>
  <c r="AD20" i="19"/>
  <c r="AD19" i="19"/>
  <c r="AL22" i="19"/>
  <c r="AL21" i="19"/>
  <c r="AL20" i="19"/>
  <c r="AL19" i="19"/>
  <c r="BF8" i="20" l="1"/>
  <c r="BE22" i="20"/>
  <c r="BE14" i="20"/>
  <c r="K24" i="24"/>
  <c r="J24" i="20"/>
  <c r="BE21" i="20"/>
  <c r="BE13" i="20"/>
  <c r="BE11" i="24"/>
  <c r="BE13" i="24"/>
  <c r="BE14" i="24"/>
  <c r="BE16" i="24"/>
  <c r="BE18" i="24"/>
  <c r="BE20" i="24"/>
  <c r="BE17" i="20"/>
  <c r="BF8" i="24"/>
  <c r="BF15" i="20"/>
  <c r="BF10" i="20"/>
  <c r="BF7" i="20"/>
  <c r="BF24" i="20" s="1"/>
  <c r="BF9" i="20"/>
  <c r="BF17" i="20"/>
  <c r="BE11" i="20"/>
  <c r="BE16" i="20"/>
  <c r="BE20" i="20"/>
  <c r="F24" i="20"/>
  <c r="G24" i="24"/>
  <c r="F24" i="24"/>
  <c r="BE7" i="24"/>
  <c r="BE24" i="24" s="1"/>
  <c r="BF18" i="20"/>
  <c r="W24" i="23"/>
  <c r="BC24" i="20"/>
  <c r="S24" i="24"/>
  <c r="R24" i="24"/>
  <c r="BB24" i="19"/>
  <c r="BF13" i="23"/>
  <c r="BE9" i="23"/>
  <c r="AX24" i="23"/>
  <c r="BC24" i="23"/>
  <c r="AQ24" i="23"/>
  <c r="AY24" i="23"/>
  <c r="AU24" i="23"/>
  <c r="BF12" i="23"/>
  <c r="AP24" i="23"/>
  <c r="AT24" i="23"/>
  <c r="BB24" i="23"/>
  <c r="AQ24" i="24"/>
  <c r="AY24" i="24"/>
  <c r="BC24" i="24"/>
  <c r="AU24" i="24"/>
  <c r="AP24" i="24"/>
  <c r="AT24" i="24"/>
  <c r="AX24" i="24"/>
  <c r="BB24" i="24"/>
  <c r="AU24" i="20"/>
  <c r="AY24" i="20"/>
  <c r="AQ24" i="20"/>
  <c r="AX24" i="20"/>
  <c r="AP24" i="20"/>
  <c r="BB24" i="20"/>
  <c r="AT24" i="20"/>
  <c r="AU24" i="19"/>
  <c r="AQ24" i="19"/>
  <c r="AY24" i="19"/>
  <c r="AP24" i="19"/>
  <c r="AT24" i="19"/>
  <c r="AX24" i="19"/>
  <c r="AT24" i="22"/>
  <c r="BC24" i="22"/>
  <c r="AU24" i="22"/>
  <c r="AY24" i="22"/>
  <c r="AQ24" i="22"/>
  <c r="AX24" i="22"/>
  <c r="AP24" i="22"/>
  <c r="BB24" i="22"/>
  <c r="R24" i="22"/>
  <c r="O24" i="23"/>
  <c r="N24" i="22"/>
  <c r="AD24" i="20"/>
  <c r="AD24" i="24"/>
  <c r="O24" i="24"/>
  <c r="AA24" i="24"/>
  <c r="W24" i="20"/>
  <c r="S24" i="23"/>
  <c r="AE24" i="20"/>
  <c r="AA14" i="19"/>
  <c r="BE11" i="23"/>
  <c r="BF15" i="23"/>
  <c r="AL24" i="23"/>
  <c r="AL24" i="19"/>
  <c r="AM24" i="19"/>
  <c r="AL24" i="20"/>
  <c r="AM24" i="20"/>
  <c r="AM24" i="24"/>
  <c r="AL24" i="24"/>
  <c r="AM24" i="22"/>
  <c r="AL24" i="22"/>
  <c r="AH24" i="24"/>
  <c r="AI24" i="24"/>
  <c r="BF18" i="23"/>
  <c r="AI24" i="23"/>
  <c r="BE12" i="23"/>
  <c r="BE8" i="23"/>
  <c r="AH24" i="23"/>
  <c r="AI24" i="20"/>
  <c r="AH24" i="20"/>
  <c r="BE7" i="19"/>
  <c r="AI24" i="19"/>
  <c r="AH24" i="19"/>
  <c r="AI24" i="22"/>
  <c r="AH24" i="22"/>
  <c r="BF17" i="23"/>
  <c r="AE24" i="23"/>
  <c r="BF21" i="23"/>
  <c r="BF16" i="23"/>
  <c r="BF22" i="23"/>
  <c r="BF7" i="23"/>
  <c r="AD24" i="23"/>
  <c r="AE24" i="24"/>
  <c r="AD24" i="19"/>
  <c r="AE24" i="19"/>
  <c r="AE24" i="22"/>
  <c r="AD24" i="22"/>
  <c r="BE7" i="22"/>
  <c r="V24" i="22"/>
  <c r="O24" i="22"/>
  <c r="K24" i="22"/>
  <c r="BF8" i="22"/>
  <c r="W24" i="22"/>
  <c r="J24" i="22"/>
  <c r="BE10" i="19"/>
  <c r="V24" i="19"/>
  <c r="BF9" i="23"/>
  <c r="V24" i="24"/>
  <c r="BF20" i="23"/>
  <c r="K24" i="20"/>
  <c r="BF8" i="23"/>
  <c r="BF22" i="22"/>
  <c r="K24" i="23"/>
  <c r="W24" i="24"/>
  <c r="BF12" i="22"/>
  <c r="BF10" i="23"/>
  <c r="BF15" i="22"/>
  <c r="Z24" i="23"/>
  <c r="BE7" i="23"/>
  <c r="BF14" i="23"/>
  <c r="BF19" i="23"/>
  <c r="BF7" i="22"/>
  <c r="N24" i="19"/>
  <c r="Z24" i="24"/>
  <c r="AA24" i="23"/>
  <c r="BF11" i="23"/>
  <c r="BF9" i="22"/>
  <c r="BF16" i="22"/>
  <c r="BF21" i="22"/>
  <c r="AA24" i="22"/>
  <c r="BF19" i="22"/>
  <c r="BF20" i="22"/>
  <c r="Z24" i="22"/>
  <c r="AA24" i="20"/>
  <c r="Z24" i="20"/>
  <c r="AA8" i="19"/>
  <c r="AA20" i="19"/>
  <c r="AA10" i="19"/>
  <c r="AA12" i="19"/>
  <c r="AA17" i="19"/>
  <c r="AA7" i="19"/>
  <c r="AA9" i="19"/>
  <c r="AA11" i="19"/>
  <c r="AA18" i="19"/>
  <c r="AA19" i="19"/>
  <c r="S24" i="20"/>
  <c r="R24" i="20"/>
  <c r="BF11" i="22"/>
  <c r="Z24" i="19"/>
  <c r="BF13" i="22"/>
  <c r="BE7" i="20"/>
  <c r="BE24" i="20" s="1"/>
  <c r="BF14" i="22"/>
  <c r="BE14" i="22"/>
  <c r="BE15" i="22"/>
  <c r="BE21" i="23"/>
  <c r="BE17" i="22"/>
  <c r="BF18" i="22"/>
  <c r="BE18" i="22"/>
  <c r="BE18" i="23"/>
  <c r="BE17" i="23"/>
  <c r="BE22" i="23"/>
  <c r="AA15" i="19"/>
  <c r="BE19" i="22"/>
  <c r="BE20" i="22"/>
  <c r="BE16" i="22"/>
  <c r="G24" i="22"/>
  <c r="AA21" i="19"/>
  <c r="AA22" i="19"/>
  <c r="AA16" i="19"/>
  <c r="S24" i="22"/>
  <c r="BE21" i="22"/>
  <c r="BE22" i="22"/>
  <c r="BE10" i="23"/>
  <c r="J24" i="24"/>
  <c r="V24" i="23"/>
  <c r="R24" i="23"/>
  <c r="BE16" i="23"/>
  <c r="BE15" i="23"/>
  <c r="N24" i="23"/>
  <c r="BE20" i="23"/>
  <c r="BE13" i="23"/>
  <c r="J24" i="23"/>
  <c r="BE14" i="23"/>
  <c r="F24" i="23"/>
  <c r="BF10" i="22"/>
  <c r="BF17" i="22"/>
  <c r="BE12" i="22"/>
  <c r="BE10" i="22"/>
  <c r="BE8" i="22"/>
  <c r="F24" i="22"/>
  <c r="BE13" i="22"/>
  <c r="BE11" i="22"/>
  <c r="BE9" i="22"/>
  <c r="V24" i="20"/>
  <c r="O24" i="20"/>
  <c r="N24" i="20"/>
  <c r="BF19" i="20"/>
  <c r="BF21" i="20"/>
  <c r="BF20" i="20"/>
  <c r="BF22" i="20"/>
  <c r="G24" i="20"/>
  <c r="S24" i="19"/>
  <c r="W24" i="19"/>
  <c r="R24" i="19"/>
  <c r="BE16" i="19"/>
  <c r="BE14" i="19"/>
  <c r="BE8" i="19"/>
  <c r="BE11" i="19"/>
  <c r="BE9" i="19"/>
  <c r="J24" i="19"/>
  <c r="BE15" i="19"/>
  <c r="BE18" i="19"/>
  <c r="G8" i="19"/>
  <c r="G10" i="19"/>
  <c r="G12" i="19"/>
  <c r="G15" i="19"/>
  <c r="G17" i="19"/>
  <c r="G19" i="19"/>
  <c r="G21" i="19"/>
  <c r="G9" i="19"/>
  <c r="G13" i="19"/>
  <c r="G16" i="19"/>
  <c r="G20" i="19"/>
  <c r="G11" i="19"/>
  <c r="G14" i="19"/>
  <c r="G18" i="19"/>
  <c r="G22" i="19"/>
  <c r="K8" i="19"/>
  <c r="K10" i="19"/>
  <c r="K12" i="19"/>
  <c r="K15" i="19"/>
  <c r="K17" i="19"/>
  <c r="K19" i="19"/>
  <c r="K21" i="19"/>
  <c r="K9" i="19"/>
  <c r="K13" i="19"/>
  <c r="K16" i="19"/>
  <c r="K20" i="19"/>
  <c r="K11" i="19"/>
  <c r="K14" i="19"/>
  <c r="K18" i="19"/>
  <c r="K22" i="19"/>
  <c r="BD24" i="19"/>
  <c r="BE17" i="19"/>
  <c r="K7" i="19"/>
  <c r="BE20" i="19"/>
  <c r="BE22" i="19"/>
  <c r="O24" i="19"/>
  <c r="G7" i="19"/>
  <c r="BE13" i="19"/>
  <c r="BE12" i="19"/>
  <c r="BE19" i="19"/>
  <c r="BE21" i="19"/>
  <c r="F24" i="19"/>
  <c r="BF14" i="19"/>
  <c r="BF21" i="19" l="1"/>
  <c r="BF24" i="23"/>
  <c r="BE24" i="23"/>
  <c r="BE24" i="19"/>
  <c r="BF24" i="22"/>
  <c r="BE24" i="22"/>
  <c r="BF15" i="19"/>
  <c r="AA24" i="19"/>
  <c r="BF9" i="19"/>
  <c r="BF18" i="19"/>
  <c r="BF11" i="19"/>
  <c r="BF16" i="19"/>
  <c r="BF12" i="19"/>
  <c r="BF8" i="19"/>
  <c r="BF17" i="19"/>
  <c r="BF10" i="19"/>
  <c r="BF19" i="19"/>
  <c r="BF13" i="19"/>
  <c r="G24" i="19"/>
  <c r="BF7" i="19"/>
  <c r="BF20" i="19"/>
  <c r="BF22" i="19"/>
  <c r="K24" i="19"/>
  <c r="BF24" i="19" l="1"/>
  <c r="L24" i="15" l="1"/>
  <c r="M24" i="15"/>
  <c r="E12" i="30" l="1"/>
  <c r="BC12" i="30" l="1"/>
  <c r="AZ12" i="30"/>
  <c r="E24" i="30"/>
  <c r="G12" i="30" s="1"/>
  <c r="BB12" i="30" s="1"/>
  <c r="BC14" i="30"/>
  <c r="AZ14" i="30"/>
  <c r="AW24" i="15"/>
  <c r="AV24" i="15"/>
  <c r="AK24" i="15"/>
  <c r="AY21" i="15" s="1"/>
  <c r="AJ24" i="15"/>
  <c r="AX22" i="15" s="1"/>
  <c r="AG24" i="15"/>
  <c r="AI21" i="15" s="1"/>
  <c r="AF24" i="15"/>
  <c r="AH18" i="15" s="1"/>
  <c r="AC24" i="15"/>
  <c r="AE21" i="15" s="1"/>
  <c r="AB24" i="15"/>
  <c r="AD9" i="15" s="1"/>
  <c r="Y24" i="15"/>
  <c r="AA21" i="15" s="1"/>
  <c r="X24" i="15"/>
  <c r="Z15" i="15" s="1"/>
  <c r="U24" i="15"/>
  <c r="W22" i="15" s="1"/>
  <c r="T24" i="15"/>
  <c r="V22" i="15" s="1"/>
  <c r="Q24" i="15"/>
  <c r="S18" i="15" s="1"/>
  <c r="P24" i="15"/>
  <c r="R22" i="15" s="1"/>
  <c r="O22" i="15"/>
  <c r="I24" i="15"/>
  <c r="K22" i="15" s="1"/>
  <c r="H24" i="15"/>
  <c r="J22" i="15" s="1"/>
  <c r="E24" i="15"/>
  <c r="G22" i="15" s="1"/>
  <c r="F22" i="15"/>
  <c r="AZ22" i="15"/>
  <c r="N22" i="15"/>
  <c r="AZ21" i="15"/>
  <c r="S21" i="15"/>
  <c r="R21" i="15"/>
  <c r="N21" i="15"/>
  <c r="AZ20" i="15"/>
  <c r="R20" i="15"/>
  <c r="N20" i="15"/>
  <c r="AZ19" i="15"/>
  <c r="N19" i="15"/>
  <c r="AZ18" i="15"/>
  <c r="O18" i="15"/>
  <c r="N18" i="15"/>
  <c r="AZ17" i="15"/>
  <c r="O17" i="15"/>
  <c r="N17" i="15"/>
  <c r="AZ16" i="15"/>
  <c r="N16" i="15"/>
  <c r="AZ15" i="15"/>
  <c r="N15" i="15"/>
  <c r="AZ14" i="15"/>
  <c r="R14" i="15"/>
  <c r="N14" i="15"/>
  <c r="AZ13" i="15"/>
  <c r="N13" i="15"/>
  <c r="AZ12" i="15"/>
  <c r="N12" i="15"/>
  <c r="AZ11" i="15"/>
  <c r="N11" i="15"/>
  <c r="AZ10" i="15"/>
  <c r="N10" i="15"/>
  <c r="AZ9" i="15"/>
  <c r="R9" i="15"/>
  <c r="N9" i="15"/>
  <c r="AZ8" i="15"/>
  <c r="AA8" i="15"/>
  <c r="N8" i="15"/>
  <c r="B8" i="15"/>
  <c r="B9" i="15" s="1"/>
  <c r="B10" i="15" s="1"/>
  <c r="B11" i="15" s="1"/>
  <c r="B12" i="15" s="1"/>
  <c r="AZ7" i="15"/>
  <c r="R7" i="15"/>
  <c r="N7" i="15"/>
  <c r="K7" i="15"/>
  <c r="AW24" i="14"/>
  <c r="AV24" i="14"/>
  <c r="AS24" i="14"/>
  <c r="AO24" i="14"/>
  <c r="AO26" i="14" s="1"/>
  <c r="AN24" i="14"/>
  <c r="AN26" i="14" s="1"/>
  <c r="AK24" i="14"/>
  <c r="AJ24" i="14"/>
  <c r="AG24" i="14"/>
  <c r="AF24" i="14"/>
  <c r="AC24" i="14"/>
  <c r="AE21" i="14" s="1"/>
  <c r="AB24" i="14"/>
  <c r="AD9" i="14" s="1"/>
  <c r="Y24" i="14"/>
  <c r="AA22" i="14" s="1"/>
  <c r="X24" i="14"/>
  <c r="Z7" i="14" s="1"/>
  <c r="U24" i="14"/>
  <c r="W12" i="14" s="1"/>
  <c r="T24" i="14"/>
  <c r="V12" i="14" s="1"/>
  <c r="Q24" i="14"/>
  <c r="S12" i="14" s="1"/>
  <c r="P24" i="14"/>
  <c r="R12" i="14" s="1"/>
  <c r="M24" i="14"/>
  <c r="O12" i="14" s="1"/>
  <c r="L24" i="14"/>
  <c r="N12" i="14" s="1"/>
  <c r="I24" i="14"/>
  <c r="K12" i="14" s="1"/>
  <c r="H24" i="14"/>
  <c r="J12" i="14" s="1"/>
  <c r="E24" i="14"/>
  <c r="G12" i="14" s="1"/>
  <c r="D24" i="14"/>
  <c r="F12" i="14" s="1"/>
  <c r="AZ22" i="14"/>
  <c r="N22" i="14"/>
  <c r="AZ21" i="14"/>
  <c r="S21" i="14"/>
  <c r="R21" i="14"/>
  <c r="O21" i="14"/>
  <c r="AZ20" i="14"/>
  <c r="AI20" i="14"/>
  <c r="AD20" i="14"/>
  <c r="O20" i="14"/>
  <c r="N20" i="14"/>
  <c r="AZ19" i="14"/>
  <c r="AZ18" i="14"/>
  <c r="R18" i="14"/>
  <c r="AZ17" i="14"/>
  <c r="AD17" i="14"/>
  <c r="R17" i="14"/>
  <c r="N17" i="14"/>
  <c r="AZ16" i="14"/>
  <c r="S16" i="14"/>
  <c r="AZ15" i="14"/>
  <c r="S15" i="14"/>
  <c r="R15" i="14"/>
  <c r="AZ14" i="14"/>
  <c r="R14" i="14"/>
  <c r="N14" i="14"/>
  <c r="AZ13" i="14"/>
  <c r="AE13" i="14"/>
  <c r="AD13" i="14"/>
  <c r="R13" i="14"/>
  <c r="N13" i="14"/>
  <c r="AZ12" i="14"/>
  <c r="AE12" i="14"/>
  <c r="AD12" i="14"/>
  <c r="AZ11" i="14"/>
  <c r="R11" i="14"/>
  <c r="N11" i="14"/>
  <c r="AZ10" i="14"/>
  <c r="S10" i="14"/>
  <c r="AZ9" i="14"/>
  <c r="AE9" i="14"/>
  <c r="O9" i="14"/>
  <c r="N9" i="14"/>
  <c r="AZ8" i="14"/>
  <c r="O8" i="14"/>
  <c r="N8" i="14"/>
  <c r="B8" i="14"/>
  <c r="B9" i="14" s="1"/>
  <c r="B10" i="14" s="1"/>
  <c r="B11" i="14" s="1"/>
  <c r="B12" i="14" s="1"/>
  <c r="B13" i="14" s="1"/>
  <c r="AZ7" i="14"/>
  <c r="S7" i="14"/>
  <c r="R7" i="14"/>
  <c r="O7" i="14"/>
  <c r="N7" i="14"/>
  <c r="B14" i="14" l="1"/>
  <c r="B15" i="14" s="1"/>
  <c r="B16" i="14" s="1"/>
  <c r="B17" i="14" s="1"/>
  <c r="B18" i="14" s="1"/>
  <c r="B19" i="14" s="1"/>
  <c r="B20" i="14" s="1"/>
  <c r="B21" i="14" s="1"/>
  <c r="B22" i="14" s="1"/>
  <c r="G14" i="30"/>
  <c r="BB14" i="30" s="1"/>
  <c r="AZ24" i="30"/>
  <c r="AA14" i="15"/>
  <c r="G10" i="30"/>
  <c r="BB10" i="30" s="1"/>
  <c r="G13" i="30"/>
  <c r="BB13" i="30" s="1"/>
  <c r="G15" i="30"/>
  <c r="BB15" i="30" s="1"/>
  <c r="G19" i="30"/>
  <c r="BB19" i="30" s="1"/>
  <c r="G7" i="30"/>
  <c r="G8" i="30"/>
  <c r="BB8" i="30" s="1"/>
  <c r="G16" i="30"/>
  <c r="BB16" i="30" s="1"/>
  <c r="G20" i="30"/>
  <c r="BB20" i="30" s="1"/>
  <c r="G22" i="30"/>
  <c r="BB22" i="30" s="1"/>
  <c r="G9" i="30"/>
  <c r="BB9" i="30" s="1"/>
  <c r="G17" i="30"/>
  <c r="BB17" i="30" s="1"/>
  <c r="G21" i="30"/>
  <c r="BB21" i="30" s="1"/>
  <c r="G11" i="30"/>
  <c r="BB11" i="30" s="1"/>
  <c r="G18" i="30"/>
  <c r="BB18" i="30" s="1"/>
  <c r="AZ27" i="30"/>
  <c r="BC24" i="30"/>
  <c r="S8" i="14"/>
  <c r="S9" i="14"/>
  <c r="O11" i="14"/>
  <c r="S11" i="14"/>
  <c r="O13" i="14"/>
  <c r="O14" i="14"/>
  <c r="S14" i="14"/>
  <c r="O17" i="14"/>
  <c r="S17" i="14"/>
  <c r="S18" i="14"/>
  <c r="S19" i="14"/>
  <c r="W20" i="14"/>
  <c r="AE20" i="14"/>
  <c r="O22" i="14"/>
  <c r="AI22" i="14"/>
  <c r="AG26" i="14"/>
  <c r="AI13" i="14"/>
  <c r="AI19" i="14"/>
  <c r="AH19" i="14"/>
  <c r="AF26" i="14"/>
  <c r="AE7" i="14"/>
  <c r="AE8" i="14"/>
  <c r="AE14" i="14"/>
  <c r="AE22" i="14"/>
  <c r="R8" i="14"/>
  <c r="R9" i="14"/>
  <c r="R10" i="14"/>
  <c r="R16" i="14"/>
  <c r="R19" i="14"/>
  <c r="R20" i="14"/>
  <c r="R22" i="14"/>
  <c r="AL11" i="15"/>
  <c r="AA16" i="15"/>
  <c r="AY22" i="14"/>
  <c r="AK26" i="14"/>
  <c r="AX21" i="14"/>
  <c r="AJ26" i="14"/>
  <c r="F11" i="14"/>
  <c r="AM7" i="15"/>
  <c r="V12" i="15"/>
  <c r="V14" i="14"/>
  <c r="V19" i="15"/>
  <c r="W14" i="14"/>
  <c r="N21" i="14"/>
  <c r="AD22" i="14"/>
  <c r="G11" i="14"/>
  <c r="W13" i="14"/>
  <c r="F17" i="14"/>
  <c r="J15" i="15"/>
  <c r="AD17" i="15"/>
  <c r="AD22" i="15"/>
  <c r="G9" i="14"/>
  <c r="G17" i="14"/>
  <c r="V8" i="15"/>
  <c r="AE22" i="15"/>
  <c r="AM11" i="15"/>
  <c r="AL13" i="15"/>
  <c r="AX14" i="15"/>
  <c r="AL15" i="15"/>
  <c r="AT17" i="15"/>
  <c r="AX20" i="15"/>
  <c r="AT8" i="15"/>
  <c r="AX10" i="15"/>
  <c r="AT12" i="15"/>
  <c r="AL21" i="15"/>
  <c r="AX14" i="14"/>
  <c r="AX15" i="14"/>
  <c r="AX7" i="14"/>
  <c r="AL19" i="14"/>
  <c r="AY7" i="14"/>
  <c r="AQ13" i="14"/>
  <c r="AY15" i="14"/>
  <c r="AM19" i="14"/>
  <c r="AM16" i="14"/>
  <c r="AU9" i="14"/>
  <c r="AM10" i="14"/>
  <c r="AU17" i="14"/>
  <c r="AQ20" i="14"/>
  <c r="AY21" i="14"/>
  <c r="AP18" i="14"/>
  <c r="AI9" i="14"/>
  <c r="AI11" i="14"/>
  <c r="AI15" i="14"/>
  <c r="AH11" i="14"/>
  <c r="AH15" i="14"/>
  <c r="AH18" i="14"/>
  <c r="AH20" i="14"/>
  <c r="AH21" i="14"/>
  <c r="AH22" i="14"/>
  <c r="AH7" i="14"/>
  <c r="AH8" i="14"/>
  <c r="AH9" i="14"/>
  <c r="AH10" i="14"/>
  <c r="AH12" i="14"/>
  <c r="AH13" i="14"/>
  <c r="AH14" i="14"/>
  <c r="AH16" i="14"/>
  <c r="AH17" i="14"/>
  <c r="AH8" i="15"/>
  <c r="AH19" i="15"/>
  <c r="AH20" i="15"/>
  <c r="AH21" i="15"/>
  <c r="AH22" i="15"/>
  <c r="AI22" i="15"/>
  <c r="AI17" i="15"/>
  <c r="AH7" i="15"/>
  <c r="AH9" i="15"/>
  <c r="AH16" i="15"/>
  <c r="AI7" i="15"/>
  <c r="AI8" i="15"/>
  <c r="AI10" i="15"/>
  <c r="AI11" i="15"/>
  <c r="AI12" i="15"/>
  <c r="AI18" i="15"/>
  <c r="AH13" i="15"/>
  <c r="AH11" i="15"/>
  <c r="AH14" i="15"/>
  <c r="AH10" i="15"/>
  <c r="AH12" i="15"/>
  <c r="AH15" i="15"/>
  <c r="AH17" i="15"/>
  <c r="K9" i="15"/>
  <c r="AE8" i="15"/>
  <c r="AA12" i="15"/>
  <c r="AE10" i="14"/>
  <c r="AE11" i="14"/>
  <c r="AE16" i="14"/>
  <c r="AD10" i="14"/>
  <c r="AD11" i="14"/>
  <c r="AD14" i="14"/>
  <c r="AD16" i="14"/>
  <c r="AE17" i="14"/>
  <c r="AD18" i="14"/>
  <c r="AE18" i="14"/>
  <c r="AE19" i="14"/>
  <c r="AD19" i="14"/>
  <c r="AE10" i="15"/>
  <c r="AE12" i="15"/>
  <c r="AD7" i="15"/>
  <c r="AD12" i="15"/>
  <c r="AD14" i="15"/>
  <c r="AD19" i="15"/>
  <c r="AD8" i="15"/>
  <c r="AD10" i="15"/>
  <c r="AD16" i="15"/>
  <c r="AD20" i="15"/>
  <c r="AX9" i="14"/>
  <c r="AP10" i="14"/>
  <c r="F13" i="14"/>
  <c r="AT13" i="14"/>
  <c r="V16" i="14"/>
  <c r="AP16" i="14"/>
  <c r="AX17" i="14"/>
  <c r="AT18" i="14"/>
  <c r="F20" i="14"/>
  <c r="AT20" i="14"/>
  <c r="AP7" i="15"/>
  <c r="AX8" i="15"/>
  <c r="AL9" i="15"/>
  <c r="AX12" i="15"/>
  <c r="AP15" i="15"/>
  <c r="AX17" i="15"/>
  <c r="AL18" i="15"/>
  <c r="AP21" i="15"/>
  <c r="AY9" i="14"/>
  <c r="AQ10" i="14"/>
  <c r="G13" i="14"/>
  <c r="AU13" i="14"/>
  <c r="F14" i="14"/>
  <c r="F15" i="14"/>
  <c r="V15" i="14"/>
  <c r="AL15" i="14"/>
  <c r="W16" i="14"/>
  <c r="AQ16" i="14"/>
  <c r="AY17" i="14"/>
  <c r="AX18" i="14"/>
  <c r="V19" i="14"/>
  <c r="G20" i="14"/>
  <c r="AM21" i="14"/>
  <c r="F11" i="15"/>
  <c r="AP11" i="15"/>
  <c r="AT13" i="15"/>
  <c r="AT15" i="15"/>
  <c r="V17" i="15"/>
  <c r="AP18" i="15"/>
  <c r="V20" i="15"/>
  <c r="AP8" i="14"/>
  <c r="AL9" i="14"/>
  <c r="W10" i="14"/>
  <c r="AT10" i="14"/>
  <c r="AX13" i="14"/>
  <c r="G15" i="14"/>
  <c r="AM15" i="14"/>
  <c r="W19" i="14"/>
  <c r="AQ19" i="14"/>
  <c r="AX20" i="14"/>
  <c r="AP21" i="14"/>
  <c r="AL22" i="14"/>
  <c r="V7" i="15"/>
  <c r="AX7" i="15"/>
  <c r="AT9" i="15"/>
  <c r="AX13" i="15"/>
  <c r="AL16" i="15"/>
  <c r="AQ18" i="15"/>
  <c r="AX21" i="15"/>
  <c r="AP7" i="14"/>
  <c r="V8" i="14"/>
  <c r="AM9" i="14"/>
  <c r="AU10" i="14"/>
  <c r="AL11" i="14"/>
  <c r="Z15" i="14"/>
  <c r="AP15" i="14"/>
  <c r="AU16" i="14"/>
  <c r="AM17" i="14"/>
  <c r="F18" i="14"/>
  <c r="AT19" i="14"/>
  <c r="AY20" i="14"/>
  <c r="V21" i="14"/>
  <c r="AQ21" i="14"/>
  <c r="AP22" i="14"/>
  <c r="AX9" i="15"/>
  <c r="AL10" i="15"/>
  <c r="V11" i="15"/>
  <c r="AX11" i="15"/>
  <c r="V15" i="15"/>
  <c r="AT18" i="15"/>
  <c r="AP19" i="15"/>
  <c r="AL22" i="15"/>
  <c r="AQ7" i="14"/>
  <c r="AX8" i="14"/>
  <c r="AP11" i="14"/>
  <c r="K15" i="14"/>
  <c r="AQ15" i="14"/>
  <c r="N16" i="14"/>
  <c r="AX16" i="14"/>
  <c r="AP17" i="14"/>
  <c r="G18" i="14"/>
  <c r="AU19" i="14"/>
  <c r="AL20" i="14"/>
  <c r="W21" i="14"/>
  <c r="AT21" i="14"/>
  <c r="AT22" i="14"/>
  <c r="B13" i="15"/>
  <c r="AM10" i="15"/>
  <c r="AD11" i="15"/>
  <c r="V13" i="15"/>
  <c r="AL14" i="15"/>
  <c r="AA15" i="15"/>
  <c r="J16" i="15"/>
  <c r="AT16" i="15"/>
  <c r="V18" i="15"/>
  <c r="AX18" i="15"/>
  <c r="AT19" i="15"/>
  <c r="AL20" i="15"/>
  <c r="V21" i="15"/>
  <c r="AP22" i="15"/>
  <c r="G7" i="14"/>
  <c r="AA7" i="14"/>
  <c r="AT7" i="14"/>
  <c r="J8" i="14"/>
  <c r="AA8" i="14"/>
  <c r="W9" i="14"/>
  <c r="AQ9" i="14"/>
  <c r="N10" i="14"/>
  <c r="AY10" i="14"/>
  <c r="V11" i="14"/>
  <c r="AT11" i="14"/>
  <c r="AT12" i="14"/>
  <c r="S13" i="14"/>
  <c r="AM13" i="14"/>
  <c r="AP14" i="14"/>
  <c r="N15" i="14"/>
  <c r="AD15" i="14"/>
  <c r="AT15" i="14"/>
  <c r="O16" i="14"/>
  <c r="AI16" i="14"/>
  <c r="AY16" i="14"/>
  <c r="V17" i="14"/>
  <c r="AQ17" i="14"/>
  <c r="N18" i="14"/>
  <c r="N19" i="14"/>
  <c r="AX19" i="14"/>
  <c r="S20" i="14"/>
  <c r="S24" i="14" s="1"/>
  <c r="AM20" i="14"/>
  <c r="F21" i="14"/>
  <c r="AD21" i="14"/>
  <c r="AU21" i="14"/>
  <c r="V22" i="14"/>
  <c r="AX22" i="14"/>
  <c r="K8" i="15"/>
  <c r="AL8" i="15"/>
  <c r="V9" i="15"/>
  <c r="AP10" i="15"/>
  <c r="F12" i="15"/>
  <c r="AL12" i="15"/>
  <c r="AD13" i="15"/>
  <c r="AP14" i="15"/>
  <c r="AD15" i="15"/>
  <c r="AX16" i="15"/>
  <c r="AL17" i="15"/>
  <c r="AD18" i="15"/>
  <c r="AX19" i="15"/>
  <c r="AP20" i="15"/>
  <c r="AD21" i="15"/>
  <c r="Z22" i="15"/>
  <c r="AT22" i="15"/>
  <c r="AL21" i="14"/>
  <c r="AP13" i="15"/>
  <c r="V14" i="15"/>
  <c r="AL7" i="14"/>
  <c r="AL8" i="14"/>
  <c r="V10" i="14"/>
  <c r="V18" i="14"/>
  <c r="AP19" i="14"/>
  <c r="AU20" i="14"/>
  <c r="G22" i="14"/>
  <c r="AT7" i="15"/>
  <c r="AP9" i="15"/>
  <c r="AY12" i="15"/>
  <c r="AT21" i="15"/>
  <c r="AM7" i="14"/>
  <c r="G14" i="14"/>
  <c r="W15" i="14"/>
  <c r="F16" i="14"/>
  <c r="AT16" i="14"/>
  <c r="AL17" i="14"/>
  <c r="W18" i="14"/>
  <c r="AT11" i="15"/>
  <c r="AX15" i="15"/>
  <c r="AL19" i="15"/>
  <c r="V7" i="14"/>
  <c r="F8" i="14"/>
  <c r="AT8" i="14"/>
  <c r="F10" i="14"/>
  <c r="AL12" i="14"/>
  <c r="AY13" i="14"/>
  <c r="J15" i="14"/>
  <c r="G16" i="14"/>
  <c r="F19" i="14"/>
  <c r="AP16" i="15"/>
  <c r="F7" i="14"/>
  <c r="W7" i="14"/>
  <c r="G8" i="14"/>
  <c r="W8" i="14"/>
  <c r="V9" i="14"/>
  <c r="AP9" i="14"/>
  <c r="G10" i="14"/>
  <c r="AX10" i="14"/>
  <c r="AP12" i="14"/>
  <c r="AL13" i="14"/>
  <c r="AL14" i="14"/>
  <c r="AA15" i="14"/>
  <c r="G19" i="14"/>
  <c r="K7" i="14"/>
  <c r="AD7" i="14"/>
  <c r="AU7" i="14"/>
  <c r="K8" i="14"/>
  <c r="AD8" i="14"/>
  <c r="F9" i="14"/>
  <c r="AT9" i="14"/>
  <c r="O10" i="14"/>
  <c r="AL10" i="14"/>
  <c r="W11" i="14"/>
  <c r="AX11" i="14"/>
  <c r="AX12" i="14"/>
  <c r="V13" i="14"/>
  <c r="AP13" i="14"/>
  <c r="AT14" i="14"/>
  <c r="O15" i="14"/>
  <c r="AE15" i="14"/>
  <c r="AU15" i="14"/>
  <c r="AL16" i="14"/>
  <c r="W17" i="14"/>
  <c r="AT17" i="14"/>
  <c r="O18" i="14"/>
  <c r="AL18" i="14"/>
  <c r="O19" i="14"/>
  <c r="AY19" i="14"/>
  <c r="V20" i="14"/>
  <c r="AP20" i="14"/>
  <c r="G21" i="14"/>
  <c r="W22" i="14"/>
  <c r="AL7" i="15"/>
  <c r="AP8" i="15"/>
  <c r="V10" i="15"/>
  <c r="AT10" i="15"/>
  <c r="AP12" i="15"/>
  <c r="AT14" i="15"/>
  <c r="V16" i="15"/>
  <c r="AP17" i="15"/>
  <c r="AT20" i="15"/>
  <c r="AA22" i="15"/>
  <c r="AA12" i="14"/>
  <c r="Z8" i="14"/>
  <c r="Z12" i="14"/>
  <c r="Z9" i="15"/>
  <c r="Z17" i="15"/>
  <c r="Z18" i="15"/>
  <c r="Z19" i="15"/>
  <c r="Z21" i="15"/>
  <c r="K17" i="15"/>
  <c r="J17" i="14"/>
  <c r="K16" i="14"/>
  <c r="K17" i="14"/>
  <c r="AA17" i="14"/>
  <c r="K18" i="14"/>
  <c r="S22" i="14"/>
  <c r="AQ7" i="15"/>
  <c r="Z10" i="15"/>
  <c r="AQ10" i="15"/>
  <c r="AQ11" i="15"/>
  <c r="AM12" i="15"/>
  <c r="F13" i="15"/>
  <c r="AU18" i="15"/>
  <c r="AQ22" i="15"/>
  <c r="Z17" i="14"/>
  <c r="Z18" i="14"/>
  <c r="AY8" i="15"/>
  <c r="AU17" i="15"/>
  <c r="F22" i="14"/>
  <c r="Z7" i="15"/>
  <c r="AM8" i="15"/>
  <c r="F9" i="15"/>
  <c r="Z11" i="15"/>
  <c r="Z12" i="15"/>
  <c r="Z14" i="15"/>
  <c r="Z16" i="15"/>
  <c r="AY17" i="15"/>
  <c r="J9" i="14"/>
  <c r="Z9" i="14"/>
  <c r="J13" i="14"/>
  <c r="Z13" i="14"/>
  <c r="J19" i="14"/>
  <c r="Z19" i="14"/>
  <c r="AU7" i="15"/>
  <c r="Z8" i="15"/>
  <c r="AU10" i="15"/>
  <c r="AU11" i="15"/>
  <c r="AQ12" i="15"/>
  <c r="AY18" i="15"/>
  <c r="Z20" i="15"/>
  <c r="AU22" i="15"/>
  <c r="K9" i="14"/>
  <c r="AA9" i="14"/>
  <c r="J10" i="14"/>
  <c r="Z10" i="14"/>
  <c r="J11" i="14"/>
  <c r="Z11" i="14"/>
  <c r="K13" i="14"/>
  <c r="AA13" i="14"/>
  <c r="J14" i="14"/>
  <c r="Z14" i="14"/>
  <c r="K19" i="14"/>
  <c r="AA19" i="14"/>
  <c r="J20" i="14"/>
  <c r="Z20" i="14"/>
  <c r="J21" i="14"/>
  <c r="Z21" i="14"/>
  <c r="J22" i="14"/>
  <c r="Z22" i="14"/>
  <c r="AQ8" i="15"/>
  <c r="Z13" i="15"/>
  <c r="AM17" i="15"/>
  <c r="F18" i="15"/>
  <c r="AM22" i="15"/>
  <c r="J16" i="14"/>
  <c r="J18" i="14"/>
  <c r="K10" i="14"/>
  <c r="AA10" i="14"/>
  <c r="K11" i="14"/>
  <c r="AA11" i="14"/>
  <c r="K14" i="14"/>
  <c r="K20" i="14"/>
  <c r="K21" i="14"/>
  <c r="AA21" i="14"/>
  <c r="K22" i="14"/>
  <c r="F7" i="15"/>
  <c r="AY7" i="15"/>
  <c r="AY10" i="15"/>
  <c r="AY11" i="15"/>
  <c r="AU12" i="15"/>
  <c r="AM18" i="15"/>
  <c r="F19" i="15"/>
  <c r="AY22" i="15"/>
  <c r="Z16" i="14"/>
  <c r="J7" i="14"/>
  <c r="AU8" i="15"/>
  <c r="AQ17" i="15"/>
  <c r="AM8" i="14"/>
  <c r="AQ8" i="14"/>
  <c r="AU8" i="14"/>
  <c r="AY8" i="14"/>
  <c r="AM11" i="14"/>
  <c r="AQ11" i="14"/>
  <c r="AU11" i="14"/>
  <c r="AY11" i="14"/>
  <c r="AM12" i="14"/>
  <c r="AQ12" i="14"/>
  <c r="AU12" i="14"/>
  <c r="AY12" i="14"/>
  <c r="AM14" i="14"/>
  <c r="AQ14" i="14"/>
  <c r="AU14" i="14"/>
  <c r="AY14" i="14"/>
  <c r="AM18" i="14"/>
  <c r="AQ18" i="14"/>
  <c r="AU18" i="14"/>
  <c r="AY18" i="14"/>
  <c r="AM22" i="14"/>
  <c r="AQ22" i="14"/>
  <c r="AU22" i="14"/>
  <c r="AI7" i="14"/>
  <c r="AI8" i="14"/>
  <c r="AI10" i="14"/>
  <c r="AI12" i="14"/>
  <c r="AI14" i="14"/>
  <c r="AI17" i="14"/>
  <c r="AI18" i="14"/>
  <c r="AI21" i="14"/>
  <c r="AA14" i="14"/>
  <c r="AA16" i="14"/>
  <c r="AA18" i="14"/>
  <c r="AA20" i="14"/>
  <c r="N24" i="14"/>
  <c r="R24" i="14"/>
  <c r="F8" i="15"/>
  <c r="J9" i="15"/>
  <c r="AA9" i="15"/>
  <c r="AE9" i="15"/>
  <c r="AI9" i="15"/>
  <c r="AM9" i="15"/>
  <c r="AQ9" i="15"/>
  <c r="AU9" i="15"/>
  <c r="AY9" i="15"/>
  <c r="F10" i="15"/>
  <c r="J13" i="15"/>
  <c r="AA13" i="15"/>
  <c r="AE13" i="15"/>
  <c r="AI13" i="15"/>
  <c r="AM13" i="15"/>
  <c r="AQ13" i="15"/>
  <c r="AU13" i="15"/>
  <c r="AY13" i="15"/>
  <c r="F14" i="15"/>
  <c r="AI14" i="15"/>
  <c r="AM14" i="15"/>
  <c r="AQ14" i="15"/>
  <c r="AU14" i="15"/>
  <c r="AY14" i="15"/>
  <c r="F15" i="15"/>
  <c r="AI15" i="15"/>
  <c r="AM15" i="15"/>
  <c r="AQ15" i="15"/>
  <c r="AU15" i="15"/>
  <c r="AY15" i="15"/>
  <c r="F16" i="15"/>
  <c r="AI16" i="15"/>
  <c r="AM16" i="15"/>
  <c r="AQ16" i="15"/>
  <c r="AU16" i="15"/>
  <c r="AY16" i="15"/>
  <c r="F17" i="15"/>
  <c r="AA17" i="15"/>
  <c r="J19" i="15"/>
  <c r="AA19" i="15"/>
  <c r="AE19" i="15"/>
  <c r="AI19" i="15"/>
  <c r="AM19" i="15"/>
  <c r="AQ19" i="15"/>
  <c r="AU19" i="15"/>
  <c r="AY19" i="15"/>
  <c r="F20" i="15"/>
  <c r="AE20" i="15"/>
  <c r="AI20" i="15"/>
  <c r="AM20" i="15"/>
  <c r="AQ20" i="15"/>
  <c r="AU20" i="15"/>
  <c r="AY20" i="15"/>
  <c r="F21" i="15"/>
  <c r="AM21" i="15"/>
  <c r="AQ21" i="15"/>
  <c r="AU21" i="15"/>
  <c r="W8" i="15"/>
  <c r="W12" i="15"/>
  <c r="W13" i="15"/>
  <c r="W14" i="15"/>
  <c r="W10" i="15"/>
  <c r="S9" i="15"/>
  <c r="S11" i="15"/>
  <c r="S8" i="15"/>
  <c r="S17" i="15"/>
  <c r="R11" i="15"/>
  <c r="R15" i="15"/>
  <c r="S7" i="15"/>
  <c r="S10" i="15"/>
  <c r="S12" i="15"/>
  <c r="S13" i="15"/>
  <c r="S14" i="15"/>
  <c r="S19" i="15"/>
  <c r="AE7" i="15"/>
  <c r="AE11" i="15"/>
  <c r="AE14" i="15"/>
  <c r="AE15" i="15"/>
  <c r="AE16" i="15"/>
  <c r="AE17" i="15"/>
  <c r="AE18" i="15"/>
  <c r="AA7" i="15"/>
  <c r="AA10" i="15"/>
  <c r="AA11" i="15"/>
  <c r="AA18" i="15"/>
  <c r="AA20" i="15"/>
  <c r="W7" i="15"/>
  <c r="W9" i="15"/>
  <c r="W11" i="15"/>
  <c r="W17" i="15"/>
  <c r="W18" i="15"/>
  <c r="W19" i="15"/>
  <c r="W21" i="15"/>
  <c r="R8" i="15"/>
  <c r="R10" i="15"/>
  <c r="R12" i="15"/>
  <c r="R13" i="15"/>
  <c r="R16" i="15"/>
  <c r="R17" i="15"/>
  <c r="R18" i="15"/>
  <c r="R19" i="15"/>
  <c r="O7" i="15"/>
  <c r="O8" i="15"/>
  <c r="O9" i="15"/>
  <c r="O10" i="15"/>
  <c r="O11" i="15"/>
  <c r="O12" i="15"/>
  <c r="O15" i="15"/>
  <c r="W15" i="15"/>
  <c r="W16" i="15"/>
  <c r="W20" i="15"/>
  <c r="S15" i="15"/>
  <c r="S16" i="15"/>
  <c r="S20" i="15"/>
  <c r="S22" i="15"/>
  <c r="N24" i="15"/>
  <c r="O13" i="15"/>
  <c r="O14" i="15"/>
  <c r="O16" i="15"/>
  <c r="O19" i="15"/>
  <c r="O20" i="15"/>
  <c r="O21" i="15"/>
  <c r="K11" i="15"/>
  <c r="K10" i="15"/>
  <c r="K12" i="15"/>
  <c r="K13" i="15"/>
  <c r="K14" i="15"/>
  <c r="K15" i="15"/>
  <c r="K16" i="15"/>
  <c r="K18" i="15"/>
  <c r="K21" i="15"/>
  <c r="J11" i="15"/>
  <c r="J20" i="15"/>
  <c r="K19" i="15"/>
  <c r="K20" i="15"/>
  <c r="G15" i="15"/>
  <c r="G8" i="15"/>
  <c r="G9" i="15"/>
  <c r="G12" i="15"/>
  <c r="G13" i="15"/>
  <c r="G19" i="15"/>
  <c r="G7" i="15"/>
  <c r="G10" i="15"/>
  <c r="G11" i="15"/>
  <c r="G17" i="15"/>
  <c r="G21" i="15"/>
  <c r="J7" i="15"/>
  <c r="J8" i="15"/>
  <c r="J10" i="15"/>
  <c r="J12" i="15"/>
  <c r="J14" i="15"/>
  <c r="J17" i="15"/>
  <c r="J18" i="15"/>
  <c r="J21" i="15"/>
  <c r="G14" i="15"/>
  <c r="G16" i="15"/>
  <c r="G18" i="15"/>
  <c r="G20" i="15"/>
  <c r="AZ24" i="15"/>
  <c r="AZ24" i="14"/>
  <c r="B14" i="15" l="1"/>
  <c r="B15" i="15" s="1"/>
  <c r="B16" i="15" s="1"/>
  <c r="B17" i="15" s="1"/>
  <c r="B18" i="15" s="1"/>
  <c r="B19" i="15" s="1"/>
  <c r="B20" i="15" s="1"/>
  <c r="B21" i="15" s="1"/>
  <c r="B22" i="15" s="1"/>
  <c r="BB7" i="30"/>
  <c r="BB24" i="30" s="1"/>
  <c r="G24" i="30"/>
  <c r="W24" i="14"/>
  <c r="BB22" i="14"/>
  <c r="G24" i="14"/>
  <c r="O24" i="14"/>
  <c r="V24" i="14"/>
  <c r="V24" i="15"/>
  <c r="AL24" i="15"/>
  <c r="AM24" i="15"/>
  <c r="AU24" i="15"/>
  <c r="AY24" i="15"/>
  <c r="AQ24" i="15"/>
  <c r="AX24" i="15"/>
  <c r="AP24" i="15"/>
  <c r="AT24" i="15"/>
  <c r="BA22" i="15"/>
  <c r="BB12" i="14"/>
  <c r="AY24" i="14"/>
  <c r="AX24" i="14"/>
  <c r="AU24" i="14"/>
  <c r="AM24" i="14"/>
  <c r="AM26" i="14" s="1"/>
  <c r="AQ24" i="14"/>
  <c r="AP24" i="14"/>
  <c r="AL24" i="14"/>
  <c r="AL26" i="14" s="1"/>
  <c r="AT24" i="14"/>
  <c r="BA9" i="14"/>
  <c r="BA12" i="14"/>
  <c r="BB15" i="14"/>
  <c r="BA20" i="14"/>
  <c r="BA14" i="14"/>
  <c r="BA10" i="14"/>
  <c r="BA15" i="14"/>
  <c r="AI24" i="14"/>
  <c r="AI26" i="14" s="1"/>
  <c r="BB7" i="14"/>
  <c r="BB8" i="14"/>
  <c r="AH24" i="14"/>
  <c r="AH26" i="14" s="1"/>
  <c r="AH24" i="15"/>
  <c r="AI24" i="15"/>
  <c r="BB22" i="15"/>
  <c r="AE24" i="14"/>
  <c r="AD24" i="14"/>
  <c r="BA7" i="14"/>
  <c r="BA14" i="15"/>
  <c r="AD24" i="15"/>
  <c r="AE24" i="15"/>
  <c r="K24" i="14"/>
  <c r="BB16" i="14"/>
  <c r="BA17" i="14"/>
  <c r="BB20" i="14"/>
  <c r="J24" i="14"/>
  <c r="BA16" i="14"/>
  <c r="BB13" i="14"/>
  <c r="BB11" i="14"/>
  <c r="BA18" i="14"/>
  <c r="BA15" i="15"/>
  <c r="BB14" i="14"/>
  <c r="BB10" i="14"/>
  <c r="BA21" i="14"/>
  <c r="BA11" i="14"/>
  <c r="BA19" i="14"/>
  <c r="BA13" i="14"/>
  <c r="BA22" i="14"/>
  <c r="AA24" i="14"/>
  <c r="Z24" i="14"/>
  <c r="BB21" i="14"/>
  <c r="BB19" i="14"/>
  <c r="BB17" i="14"/>
  <c r="BA8" i="14"/>
  <c r="BA9" i="15"/>
  <c r="Z24" i="15"/>
  <c r="BA18" i="15"/>
  <c r="AA24" i="15"/>
  <c r="BB17" i="15"/>
  <c r="BB9" i="14"/>
  <c r="BA13" i="15"/>
  <c r="BB18" i="14"/>
  <c r="BA19" i="15"/>
  <c r="F24" i="14"/>
  <c r="BA21" i="15"/>
  <c r="BB7" i="15"/>
  <c r="BA11" i="15"/>
  <c r="BA20" i="15"/>
  <c r="BA16" i="15"/>
  <c r="F24" i="15"/>
  <c r="BA10" i="15"/>
  <c r="BB10" i="15"/>
  <c r="W24" i="15"/>
  <c r="BB19" i="15"/>
  <c r="BB8" i="15"/>
  <c r="BB9" i="15"/>
  <c r="BA17" i="15"/>
  <c r="R24" i="15"/>
  <c r="S24" i="15"/>
  <c r="BA12" i="15"/>
  <c r="BA8" i="15"/>
  <c r="O24" i="15"/>
  <c r="BB14" i="15"/>
  <c r="BB15" i="15"/>
  <c r="BB18" i="15"/>
  <c r="BB11" i="15"/>
  <c r="BB13" i="15"/>
  <c r="BB20" i="15"/>
  <c r="BB16" i="15"/>
  <c r="BB21" i="15"/>
  <c r="BB12" i="15"/>
  <c r="K24" i="15"/>
  <c r="J24" i="15"/>
  <c r="BA7" i="15"/>
  <c r="G24" i="15"/>
  <c r="BA24" i="15" l="1"/>
  <c r="BB24" i="15"/>
  <c r="BB24" i="14"/>
  <c r="BA24" i="14"/>
</calcChain>
</file>

<file path=xl/sharedStrings.xml><?xml version="1.0" encoding="utf-8"?>
<sst xmlns="http://schemas.openxmlformats.org/spreadsheetml/2006/main" count="1196" uniqueCount="85">
  <si>
    <t>Januari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</si>
  <si>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</si>
  <si>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</si>
  <si>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</si>
  <si>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</si>
  <si>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</si>
  <si>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</si>
  <si>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</si>
  <si>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</si>
  <si>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</si>
  <si>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No.</t>
  </si>
  <si>
    <t>Uraian</t>
  </si>
  <si>
    <t>Total</t>
  </si>
  <si>
    <t>PT. NOBI PUTRA ANGKASA</t>
  </si>
  <si>
    <t>Jml Kary.</t>
  </si>
  <si>
    <t>Nilai</t>
  </si>
  <si>
    <t>Februari</t>
  </si>
  <si>
    <t>Keuangan &amp; Akunting</t>
  </si>
  <si>
    <t>Marketing</t>
  </si>
  <si>
    <t>Elektrikal</t>
  </si>
  <si>
    <t>Purchasing &amp; EIM</t>
  </si>
  <si>
    <t>MR, QC &amp; HSE</t>
  </si>
  <si>
    <t>PPIC</t>
  </si>
  <si>
    <t>Warehouse &amp; Delivery</t>
  </si>
  <si>
    <t>Elektronika</t>
  </si>
  <si>
    <t>Engineering</t>
  </si>
  <si>
    <t>IT</t>
  </si>
  <si>
    <t>% JK</t>
  </si>
  <si>
    <t>% GJ</t>
  </si>
  <si>
    <t>Produksi Cable Tray &amp; Pole</t>
  </si>
  <si>
    <t>HRD,GA &amp; Legal (OB)</t>
  </si>
  <si>
    <t>None</t>
  </si>
  <si>
    <t>TOTAL</t>
  </si>
  <si>
    <t>Nopember</t>
  </si>
  <si>
    <t>PKL</t>
  </si>
  <si>
    <t>LPK - MKS</t>
  </si>
  <si>
    <t>LPK - MKM</t>
  </si>
  <si>
    <t>LPK - CTPS</t>
  </si>
  <si>
    <t>REKAPITULASI PEMBAYARAN BIAYA OS CTPS</t>
  </si>
  <si>
    <t>HRD,GA &amp; Legal (SECURITY)</t>
  </si>
  <si>
    <t>Produksi Panel</t>
  </si>
  <si>
    <t>Maintenance</t>
  </si>
  <si>
    <t>OS - CTPS</t>
  </si>
  <si>
    <t>OS - CDB</t>
  </si>
  <si>
    <t>REKAPITULASI PEMBAYARAN BIAYA OS CDB</t>
  </si>
  <si>
    <t>REKAPITULASI PEMBAYARAN BIAYA PEMAGANGAN CDB</t>
  </si>
  <si>
    <t>LPK - CDB</t>
  </si>
  <si>
    <t>REKAPITULASI PEMBAYARAN BIAYA PEMAGANGAN CTPS</t>
  </si>
  <si>
    <t>REKAPITULASI PEMBAYARAN BIAYA PEMAGANGAN MKM</t>
  </si>
  <si>
    <t>REKAPITULASI PEMBAYARAN BIAYA PKL</t>
  </si>
  <si>
    <t>REKAPITULASI PEMBAYARAN BIAYA PEMAGANGAN MKS</t>
  </si>
  <si>
    <t>REKAPITULASI PEMBAYARAN BIAYA PEMAGANGAN</t>
  </si>
  <si>
    <t>November</t>
  </si>
  <si>
    <t>Produksi Empty Panel</t>
  </si>
  <si>
    <t>Maintenance &amp; HSE</t>
  </si>
  <si>
    <t>REKAPITULASI PEMBAYARAN BIAYA Harian</t>
  </si>
  <si>
    <t>PT NOBI PUTRA ANGKASA</t>
  </si>
  <si>
    <t>REKAPITULASI PEMBAYARAN BIAYA SDM</t>
  </si>
  <si>
    <t>(F7+J7+N7+R7+V7+Z7+AD7+AH7+AL7+AP7+AT7+AX7)</t>
  </si>
  <si>
    <t>Upah</t>
  </si>
  <si>
    <t>Pekerja Produksi</t>
  </si>
  <si>
    <t>Pekerja Lainnya</t>
  </si>
  <si>
    <t>Lainnya</t>
  </si>
  <si>
    <t>PT NOBI ELEKTRIKA SEJAHTERA</t>
  </si>
  <si>
    <t>HRD,GA &amp; Legal (LPK - OB)</t>
  </si>
  <si>
    <t>HRD,GA &amp; Legal (OS - OB)</t>
  </si>
  <si>
    <t>HRD,GA &amp; Legal</t>
  </si>
  <si>
    <t>HRD,GA &amp; Legal (HARIAN)</t>
  </si>
  <si>
    <t>LPK - DKP</t>
  </si>
  <si>
    <t>42.336.816‬</t>
  </si>
  <si>
    <t>28.287.146‬</t>
  </si>
  <si>
    <t>Jan - Mar 2025</t>
  </si>
  <si>
    <t>Apr - Juni 2025</t>
  </si>
  <si>
    <t>Jul - Sept 2025</t>
  </si>
  <si>
    <t>Okt - Des 2025</t>
  </si>
  <si>
    <t>Jan - Mar</t>
  </si>
  <si>
    <t>Apr - Jun</t>
  </si>
  <si>
    <t>Jul - Sept</t>
  </si>
  <si>
    <t>Okt - Des</t>
  </si>
  <si>
    <t>TAHUN 2026</t>
  </si>
  <si>
    <t>REKAPITULASI PEMBAYARAN BIAYA PEMAGANGAN DKP</t>
  </si>
  <si>
    <t>Jan - Mar 2026</t>
  </si>
  <si>
    <t>Apr - Juni 2026</t>
  </si>
  <si>
    <t>Jul - Sept 2026</t>
  </si>
  <si>
    <t>Okt - Des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</si>
</sst>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165" fontId="0" fillId="0" borderId="2" xfId="1" applyNumberFormat="1" applyFont="1" applyFill="1" applyBorder="1"/>
    <xf numFmtId="165" fontId="0" fillId="0" borderId="0" xfId="0" applyNumberFormat="1"/>
    <xf numFmtId="164" fontId="2" fillId="0" borderId="0" xfId="0" applyNumberFormat="1" applyFont="1"/>
    <xf numFmtId="9" fontId="0" fillId="0" borderId="1" xfId="2" applyFont="1" applyBorder="1"/>
    <xf numFmtId="10" fontId="2" fillId="0" borderId="2" xfId="2" applyNumberFormat="1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2" xfId="1" applyFont="1" applyFill="1" applyBorder="1"/>
    <xf numFmtId="165" fontId="0" fillId="2" borderId="2" xfId="1" applyNumberFormat="1" applyFont="1" applyFill="1" applyBorder="1"/>
    <xf numFmtId="165" fontId="0" fillId="0" borderId="7" xfId="1" applyNumberFormat="1" applyFont="1" applyFill="1" applyBorder="1"/>
    <xf numFmtId="0" fontId="0" fillId="0" borderId="7" xfId="0" applyBorder="1"/>
    <xf numFmtId="165" fontId="2" fillId="0" borderId="2" xfId="1" applyNumberFormat="1" applyFont="1" applyBorder="1"/>
    <xf numFmtId="165" fontId="0" fillId="0" borderId="2" xfId="1" applyNumberFormat="1" applyFont="1" applyBorder="1"/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8" xfId="0" applyFont="1" applyBorder="1"/>
    <xf numFmtId="165" fontId="2" fillId="0" borderId="8" xfId="1" applyNumberFormat="1" applyFont="1" applyBorder="1"/>
    <xf numFmtId="165" fontId="2" fillId="0" borderId="8" xfId="1" applyNumberFormat="1" applyFont="1" applyFill="1" applyBorder="1"/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2" xfId="0" applyFill="1" applyBorder="1"/>
    <xf numFmtId="9" fontId="0" fillId="0" borderId="0" xfId="2" applyFont="1"/>
    <xf numFmtId="166" fontId="0" fillId="0" borderId="0" xfId="5" applyFont="1"/>
    <xf numFmtId="166" fontId="0" fillId="0" borderId="0" xfId="0" applyNumberFormat="1"/>
    <xf numFmtId="164" fontId="0" fillId="0" borderId="7" xfId="1" applyFont="1" applyFill="1" applyBorder="1"/>
    <xf numFmtId="10" fontId="2" fillId="0" borderId="7" xfId="2" applyNumberFormat="1" applyFont="1" applyBorder="1"/>
    <xf numFmtId="3" fontId="0" fillId="0" borderId="0" xfId="0" applyNumberFormat="1"/>
    <xf numFmtId="3" fontId="2" fillId="0" borderId="0" xfId="0" applyNumberFormat="1" applyFont="1"/>
    <xf numFmtId="3" fontId="0" fillId="0" borderId="4" xfId="0" applyNumberFormat="1" applyBorder="1" applyAlignment="1">
      <alignment horizontal="center" vertical="center" wrapText="1"/>
    </xf>
    <xf numFmtId="3" fontId="0" fillId="0" borderId="2" xfId="1" applyNumberFormat="1" applyFont="1" applyFill="1" applyBorder="1"/>
    <xf numFmtId="3" fontId="0" fillId="0" borderId="7" xfId="0" applyNumberFormat="1" applyBorder="1"/>
    <xf numFmtId="3" fontId="0" fillId="0" borderId="1" xfId="1" applyNumberFormat="1" applyFont="1" applyBorder="1"/>
    <xf numFmtId="3" fontId="2" fillId="0" borderId="8" xfId="1" applyNumberFormat="1" applyFont="1" applyBorder="1"/>
    <xf numFmtId="3" fontId="0" fillId="0" borderId="2" xfId="1" applyNumberFormat="1" applyFont="1" applyBorder="1"/>
    <xf numFmtId="3" fontId="0" fillId="0" borderId="7" xfId="1" applyNumberFormat="1" applyFont="1" applyFill="1" applyBorder="1"/>
    <xf numFmtId="3" fontId="0" fillId="0" borderId="0" xfId="1" applyNumberFormat="1" applyFont="1"/>
    <xf numFmtId="3" fontId="2" fillId="0" borderId="2" xfId="1" applyNumberFormat="1" applyFont="1" applyBorder="1"/>
    <xf numFmtId="41" fontId="0" fillId="0" borderId="0" xfId="0" applyNumberFormat="1"/>
    <xf numFmtId="41" fontId="2" fillId="0" borderId="0" xfId="0" applyNumberFormat="1" applyFont="1"/>
    <xf numFmtId="41" fontId="0" fillId="0" borderId="4" xfId="0" applyNumberFormat="1" applyBorder="1" applyAlignment="1">
      <alignment horizontal="center" vertical="center" wrapText="1"/>
    </xf>
    <xf numFmtId="41" fontId="0" fillId="0" borderId="2" xfId="1" applyNumberFormat="1" applyFont="1" applyFill="1" applyBorder="1"/>
    <xf numFmtId="41" fontId="0" fillId="0" borderId="7" xfId="0" applyNumberFormat="1" applyBorder="1"/>
    <xf numFmtId="41" fontId="0" fillId="0" borderId="1" xfId="1" applyNumberFormat="1" applyFont="1" applyBorder="1"/>
    <xf numFmtId="41" fontId="2" fillId="0" borderId="8" xfId="1" applyNumberFormat="1" applyFont="1" applyBorder="1"/>
    <xf numFmtId="41" fontId="0" fillId="0" borderId="0" xfId="1" applyNumberFormat="1" applyFont="1"/>
    <xf numFmtId="41" fontId="0" fillId="0" borderId="7" xfId="1" applyNumberFormat="1" applyFont="1" applyFill="1" applyBorder="1"/>
    <xf numFmtId="0" fontId="4" fillId="0" borderId="0" xfId="0" applyFont="1"/>
    <xf numFmtId="3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0" fillId="0" borderId="4" xfId="0" applyNumberFormat="1" applyBorder="1" applyAlignment="1">
      <alignment horizontal="center" vertical="center" wrapText="1"/>
    </xf>
    <xf numFmtId="1" fontId="0" fillId="0" borderId="7" xfId="1" applyNumberFormat="1" applyFont="1" applyFill="1" applyBorder="1"/>
    <xf numFmtId="1" fontId="0" fillId="0" borderId="1" xfId="1" applyNumberFormat="1" applyFont="1" applyBorder="1"/>
    <xf numFmtId="1" fontId="0" fillId="0" borderId="0" xfId="1" applyNumberFormat="1" applyFont="1"/>
    <xf numFmtId="165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165" fontId="0" fillId="0" borderId="2" xfId="10" applyNumberFormat="1" applyFont="1" applyFill="1" applyBorder="1"/>
    <xf numFmtId="165" fontId="0" fillId="0" borderId="2" xfId="10" applyNumberFormat="1" applyFont="1" applyBorder="1"/>
    <xf numFmtId="165" fontId="2" fillId="0" borderId="8" xfId="10" applyNumberFormat="1" applyFont="1" applyBorder="1"/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1">
    <cellStyle name="Comma" xfId="1" builtinId="3"/>
    <cellStyle name="Comma [0] 2" xfId="5" xr:uid="{00000000-0005-0000-0000-000001000000}"/>
    <cellStyle name="Comma [0] 2 2" xfId="9" xr:uid="{00000000-0005-0000-0000-000002000000}"/>
    <cellStyle name="Comma 2" xfId="4" xr:uid="{00000000-0005-0000-0000-000003000000}"/>
    <cellStyle name="Comma 2 2" xfId="8" xr:uid="{00000000-0005-0000-0000-000004000000}"/>
    <cellStyle name="Comma 3" xfId="6" xr:uid="{00000000-0005-0000-0000-000005000000}"/>
    <cellStyle name="Comma 4" xfId="7" xr:uid="{00000000-0005-0000-0000-000006000000}"/>
    <cellStyle name="Comma 5" xfId="10" xr:uid="{00000000-0005-0000-0000-000007000000}"/>
    <cellStyle name="Normal" xfId="0" builtinId="0"/>
    <cellStyle name="Normal 2" xfId="3" xr:uid="{00000000-0005-0000-0000-000009000000}"/>
    <cellStyle name="Percent" xfId="2" builtinId="5"/>
  </cellStyles>
  <dxfs count="57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All 2026'!$B$7:$C$7</c:f>
              <c:strCache>
                <c:ptCount val="2"/>
                <c:pt idx="0">
                  <c:v>1</c:v>
                </c:pt>
                <c:pt idx="1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2026'!$D$7:$AY$7</c15:sqref>
                  </c15:fullRef>
                </c:ext>
              </c:extLst>
              <c:f>('Rekap All 2026'!$D$7:$E$7,'Rekap All 2026'!$H$7:$I$7,'Rekap All 2026'!$L$7:$M$7,'Rekap All 2026'!$P$7:$Q$7,'Rekap All 2026'!$T$7:$U$7,'Rekap All 2026'!$X$7:$Y$7,'Rekap All 2026'!$AB$7:$AC$7,'Rekap All 2026'!$AF$7:$AG$7,'Rekap All 2026'!$AJ$7:$AK$7,'Rekap All 2026'!$AN$7:$AO$7,'Rekap All 2026'!$AR$7:$AS$7,'Rekap All 2026'!$AV$7:$AW$7)</c:f>
              <c:numCache>
                <c:formatCode>_(* #,##0_);_(* \(#,##0\);_(* "-"??_);_(@_)</c:formatCode>
                <c:ptCount val="24"/>
                <c:pt idx="0">
                  <c:v>2</c:v>
                </c:pt>
                <c:pt idx="1">
                  <c:v>105169321</c:v>
                </c:pt>
                <c:pt idx="2">
                  <c:v>2</c:v>
                </c:pt>
                <c:pt idx="3">
                  <c:v>75504329</c:v>
                </c:pt>
                <c:pt idx="4">
                  <c:v>2</c:v>
                </c:pt>
                <c:pt idx="5">
                  <c:v>74124788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7-4312-B3F9-B71F3FE5EB4F}"/>
            </c:ext>
          </c:extLst>
        </c:ser>
        <c:ser>
          <c:idx val="1"/>
          <c:order val="1"/>
          <c:tx>
            <c:strRef>
              <c:f>'Rekap All 2026'!$B$8:$C$8</c:f>
              <c:strCache>
                <c:ptCount val="2"/>
                <c:pt idx="0">
                  <c:v>2</c:v>
                </c:pt>
                <c:pt idx="1">
                  <c:v>Keuangan &amp; Akunting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2026'!$D$8:$AY$8</c15:sqref>
                  </c15:fullRef>
                </c:ext>
              </c:extLst>
              <c:f>('Rekap All 2026'!$D$8:$E$8,'Rekap All 2026'!$H$8:$I$8,'Rekap All 2026'!$L$8:$M$8,'Rekap All 2026'!$P$8:$Q$8,'Rekap All 2026'!$T$8:$U$8,'Rekap All 2026'!$X$8:$Y$8,'Rekap All 2026'!$AB$8:$AC$8,'Rekap All 2026'!$AF$8:$AG$8,'Rekap All 2026'!$AJ$8:$AK$8,'Rekap All 2026'!$AN$8:$AO$8,'Rekap All 2026'!$AR$8:$AS$8,'Rekap All 2026'!$AV$8:$AW$8)</c:f>
              <c:numCache>
                <c:formatCode>_(* #,##0_);_(* \(#,##0\);_(* "-"??_);_(@_)</c:formatCode>
                <c:ptCount val="24"/>
                <c:pt idx="0">
                  <c:v>10</c:v>
                </c:pt>
                <c:pt idx="1">
                  <c:v>124852645</c:v>
                </c:pt>
                <c:pt idx="2">
                  <c:v>10</c:v>
                </c:pt>
                <c:pt idx="3">
                  <c:v>115094497</c:v>
                </c:pt>
                <c:pt idx="4">
                  <c:v>10</c:v>
                </c:pt>
                <c:pt idx="5">
                  <c:v>110226902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7-4312-B3F9-B71F3FE5EB4F}"/>
            </c:ext>
          </c:extLst>
        </c:ser>
        <c:ser>
          <c:idx val="2"/>
          <c:order val="2"/>
          <c:tx>
            <c:strRef>
              <c:f>'Rekap All 2026'!$B$9:$C$9</c:f>
              <c:strCache>
                <c:ptCount val="2"/>
                <c:pt idx="0">
                  <c:v>3</c:v>
                </c:pt>
                <c:pt idx="1">
                  <c:v>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2026'!$D$9:$AY$9</c15:sqref>
                  </c15:fullRef>
                </c:ext>
              </c:extLst>
              <c:f>('Rekap All 2026'!$D$9:$E$9,'Rekap All 2026'!$H$9:$I$9,'Rekap All 2026'!$L$9:$M$9,'Rekap All 2026'!$P$9:$Q$9,'Rekap All 2026'!$T$9:$U$9,'Rekap All 2026'!$X$9:$Y$9,'Rekap All 2026'!$AB$9:$AC$9,'Rekap All 2026'!$AF$9:$AG$9,'Rekap All 2026'!$AJ$9:$AK$9,'Rekap All 2026'!$AN$9:$AO$9,'Rekap All 2026'!$AR$9:$AS$9,'Rekap All 2026'!$AV$9:$AW$9)</c:f>
              <c:numCache>
                <c:formatCode>_(* #,##0_);_(* \(#,##0\);_(* "-"??_);_(@_)</c:formatCode>
                <c:ptCount val="24"/>
                <c:pt idx="0">
                  <c:v>9</c:v>
                </c:pt>
                <c:pt idx="1">
                  <c:v>146715650</c:v>
                </c:pt>
                <c:pt idx="2">
                  <c:v>9</c:v>
                </c:pt>
                <c:pt idx="3">
                  <c:v>132343337</c:v>
                </c:pt>
                <c:pt idx="4">
                  <c:v>9</c:v>
                </c:pt>
                <c:pt idx="5">
                  <c:v>130048727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7-4312-B3F9-B71F3FE5EB4F}"/>
            </c:ext>
          </c:extLst>
        </c:ser>
        <c:ser>
          <c:idx val="3"/>
          <c:order val="3"/>
          <c:tx>
            <c:strRef>
              <c:f>'Rekap All 2026'!$B$10:$C$10</c:f>
              <c:strCache>
                <c:ptCount val="2"/>
                <c:pt idx="0">
                  <c:v>4</c:v>
                </c:pt>
                <c:pt idx="1">
                  <c:v>Elektrikal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2026'!$D$10:$AY$10</c15:sqref>
                  </c15:fullRef>
                </c:ext>
              </c:extLst>
              <c:f>('Rekap All 2026'!$D$10:$E$10,'Rekap All 2026'!$H$10:$I$10,'Rekap All 2026'!$L$10:$M$10,'Rekap All 2026'!$P$10:$Q$10,'Rekap All 2026'!$T$10:$U$10,'Rekap All 2026'!$X$10:$Y$10,'Rekap All 2026'!$AB$10:$AC$10,'Rekap All 2026'!$AF$10:$AG$10,'Rekap All 2026'!$AJ$10:$AK$10,'Rekap All 2026'!$AN$10:$AO$10,'Rekap All 2026'!$AR$10:$AS$10,'Rekap All 2026'!$AV$10:$AW$10)</c:f>
              <c:numCache>
                <c:formatCode>_(* #,##0_);_(* \(#,##0\);_(* "-"??_);_(@_)</c:formatCode>
                <c:ptCount val="24"/>
                <c:pt idx="0">
                  <c:v>33</c:v>
                </c:pt>
                <c:pt idx="1">
                  <c:v>268678767</c:v>
                </c:pt>
                <c:pt idx="2">
                  <c:v>31</c:v>
                </c:pt>
                <c:pt idx="3">
                  <c:v>233978970</c:v>
                </c:pt>
                <c:pt idx="4">
                  <c:v>31</c:v>
                </c:pt>
                <c:pt idx="5">
                  <c:v>228349028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A7-4312-B3F9-B71F3FE5EB4F}"/>
            </c:ext>
          </c:extLst>
        </c:ser>
        <c:ser>
          <c:idx val="4"/>
          <c:order val="4"/>
          <c:tx>
            <c:strRef>
              <c:f>'Rekap All 2026'!$B$11:$C$11</c:f>
              <c:strCache>
                <c:ptCount val="2"/>
                <c:pt idx="0">
                  <c:v>5</c:v>
                </c:pt>
                <c:pt idx="1">
                  <c:v>Purchasing &amp; EIM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2026'!$D$11:$AY$11</c15:sqref>
                  </c15:fullRef>
                </c:ext>
              </c:extLst>
              <c:f>('Rekap All 2026'!$D$11:$E$11,'Rekap All 2026'!$H$11:$I$11,'Rekap All 2026'!$L$11:$M$11,'Rekap All 2026'!$P$11:$Q$11,'Rekap All 2026'!$T$11:$U$11,'Rekap All 2026'!$X$11:$Y$11,'Rekap All 2026'!$AB$11:$AC$11,'Rekap All 2026'!$AF$11:$AG$11,'Rekap All 2026'!$AJ$11:$AK$11,'Rekap All 2026'!$AN$11:$AO$11,'Rekap All 2026'!$AR$11:$AS$11,'Rekap All 2026'!$AV$11:$AW$11)</c:f>
              <c:numCache>
                <c:formatCode>_(* #,##0_);_(* \(#,##0\);_(* "-"??_);_(@_)</c:formatCode>
                <c:ptCount val="24"/>
                <c:pt idx="0">
                  <c:v>5</c:v>
                </c:pt>
                <c:pt idx="1">
                  <c:v>56116099</c:v>
                </c:pt>
                <c:pt idx="2">
                  <c:v>5</c:v>
                </c:pt>
                <c:pt idx="3">
                  <c:v>54749422</c:v>
                </c:pt>
                <c:pt idx="4">
                  <c:v>5</c:v>
                </c:pt>
                <c:pt idx="5">
                  <c:v>52851029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A7-4312-B3F9-B71F3FE5EB4F}"/>
            </c:ext>
          </c:extLst>
        </c:ser>
        <c:ser>
          <c:idx val="5"/>
          <c:order val="5"/>
          <c:tx>
            <c:strRef>
              <c:f>'Rekap All 2026'!$B$12:$C$12</c:f>
              <c:strCache>
                <c:ptCount val="2"/>
                <c:pt idx="0">
                  <c:v>6</c:v>
                </c:pt>
                <c:pt idx="1">
                  <c:v>HRD,GA &amp; Legal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2026'!$D$12:$AY$12</c15:sqref>
                  </c15:fullRef>
                </c:ext>
              </c:extLst>
              <c:f>('Rekap All 2026'!$D$12:$E$12,'Rekap All 2026'!$H$12:$I$12,'Rekap All 2026'!$L$12:$M$12,'Rekap All 2026'!$P$12:$Q$12,'Rekap All 2026'!$T$12:$U$12,'Rekap All 2026'!$X$12:$Y$12,'Rekap All 2026'!$AB$12:$AC$12,'Rekap All 2026'!$AF$12:$AG$12,'Rekap All 2026'!$AJ$12:$AK$12,'Rekap All 2026'!$AN$12:$AO$12,'Rekap All 2026'!$AR$12:$AS$12,'Rekap All 2026'!$AV$12:$AW$12)</c:f>
              <c:numCache>
                <c:formatCode>_(* #,##0_);_(* \(#,##0\);_(* "-"??_);_(@_)</c:formatCode>
                <c:ptCount val="24"/>
                <c:pt idx="0">
                  <c:v>22</c:v>
                </c:pt>
                <c:pt idx="1">
                  <c:v>163588708</c:v>
                </c:pt>
                <c:pt idx="2">
                  <c:v>20</c:v>
                </c:pt>
                <c:pt idx="3">
                  <c:v>158052790</c:v>
                </c:pt>
                <c:pt idx="4">
                  <c:v>20</c:v>
                </c:pt>
                <c:pt idx="5">
                  <c:v>147062086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A7-4312-B3F9-B71F3FE5EB4F}"/>
            </c:ext>
          </c:extLst>
        </c:ser>
        <c:ser>
          <c:idx val="6"/>
          <c:order val="6"/>
          <c:tx>
            <c:strRef>
              <c:f>'Rekap All 2026'!$B$13:$C$13</c:f>
              <c:strCache>
                <c:ptCount val="2"/>
                <c:pt idx="0">
                  <c:v>7</c:v>
                </c:pt>
                <c:pt idx="1">
                  <c:v>HRD,GA &amp; Legal (SECURITY)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2026'!$D$13:$AY$13</c15:sqref>
                  </c15:fullRef>
                </c:ext>
              </c:extLst>
              <c:f>('Rekap All 2026'!$D$13:$E$13,'Rekap All 2026'!$H$13:$I$13,'Rekap All 2026'!$L$13:$M$13,'Rekap All 2026'!$P$13:$Q$13,'Rekap All 2026'!$T$13:$U$13,'Rekap All 2026'!$X$13:$Y$13,'Rekap All 2026'!$AB$13:$AC$13,'Rekap All 2026'!$AF$13:$AG$13,'Rekap All 2026'!$AJ$13:$AK$13,'Rekap All 2026'!$AN$13:$AO$13,'Rekap All 2026'!$AR$13:$AS$13,'Rekap All 2026'!$AV$13:$AW$13)</c:f>
              <c:numCache>
                <c:formatCode>_(* #,##0_);_(* \(#,##0\);_(* "-"??_);_(@_)</c:formatCode>
                <c:ptCount val="24"/>
                <c:pt idx="0">
                  <c:v>15</c:v>
                </c:pt>
                <c:pt idx="1">
                  <c:v>143029030</c:v>
                </c:pt>
                <c:pt idx="2">
                  <c:v>15</c:v>
                </c:pt>
                <c:pt idx="3">
                  <c:v>131419610</c:v>
                </c:pt>
                <c:pt idx="4">
                  <c:v>15</c:v>
                </c:pt>
                <c:pt idx="5">
                  <c:v>137778778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A7-4312-B3F9-B71F3FE5EB4F}"/>
            </c:ext>
          </c:extLst>
        </c:ser>
        <c:ser>
          <c:idx val="7"/>
          <c:order val="7"/>
          <c:tx>
            <c:strRef>
              <c:f>'Rekap All 2026'!$B$14:$C$14</c:f>
              <c:strCache>
                <c:ptCount val="2"/>
                <c:pt idx="0">
                  <c:v>8</c:v>
                </c:pt>
                <c:pt idx="1">
                  <c:v>MR, QC &amp; HSE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2026'!$D$14:$AY$14</c15:sqref>
                  </c15:fullRef>
                </c:ext>
              </c:extLst>
              <c:f>('Rekap All 2026'!$D$14:$E$14,'Rekap All 2026'!$H$14:$I$14,'Rekap All 2026'!$L$14:$M$14,'Rekap All 2026'!$P$14:$Q$14,'Rekap All 2026'!$T$14:$U$14,'Rekap All 2026'!$X$14:$Y$14,'Rekap All 2026'!$AB$14:$AC$14,'Rekap All 2026'!$AF$14:$AG$14,'Rekap All 2026'!$AJ$14:$AK$14,'Rekap All 2026'!$AN$14:$AO$14,'Rekap All 2026'!$AR$14:$AS$14,'Rekap All 2026'!$AV$14:$AW$14)</c:f>
              <c:numCache>
                <c:formatCode>_(* #,##0_);_(* \(#,##0\);_(* "-"??_);_(@_)</c:formatCode>
                <c:ptCount val="24"/>
                <c:pt idx="0">
                  <c:v>14</c:v>
                </c:pt>
                <c:pt idx="1">
                  <c:v>108270782</c:v>
                </c:pt>
                <c:pt idx="2">
                  <c:v>14</c:v>
                </c:pt>
                <c:pt idx="3">
                  <c:v>106249244</c:v>
                </c:pt>
                <c:pt idx="4">
                  <c:v>13</c:v>
                </c:pt>
                <c:pt idx="5">
                  <c:v>96233945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A7-4312-B3F9-B71F3FE5EB4F}"/>
            </c:ext>
          </c:extLst>
        </c:ser>
        <c:ser>
          <c:idx val="8"/>
          <c:order val="8"/>
          <c:tx>
            <c:strRef>
              <c:f>'Rekap All 2026'!$B$15:$C$15</c:f>
              <c:strCache>
                <c:ptCount val="2"/>
                <c:pt idx="0">
                  <c:v>9</c:v>
                </c:pt>
                <c:pt idx="1">
                  <c:v>PPIC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2026'!$D$15:$AY$15</c15:sqref>
                  </c15:fullRef>
                </c:ext>
              </c:extLst>
              <c:f>('Rekap All 2026'!$D$15:$E$15,'Rekap All 2026'!$H$15:$I$15,'Rekap All 2026'!$L$15:$M$15,'Rekap All 2026'!$P$15:$Q$15,'Rekap All 2026'!$T$15:$U$15,'Rekap All 2026'!$X$15:$Y$15,'Rekap All 2026'!$AB$15:$AC$15,'Rekap All 2026'!$AF$15:$AG$15,'Rekap All 2026'!$AJ$15:$AK$15,'Rekap All 2026'!$AN$15:$AO$15,'Rekap All 2026'!$AR$15:$AS$15,'Rekap All 2026'!$AV$15:$AW$15)</c:f>
              <c:numCache>
                <c:formatCode>_(* #,##0_);_(* \(#,##0\);_(* "-"??_);_(@_)</c:formatCode>
                <c:ptCount val="24"/>
                <c:pt idx="0">
                  <c:v>5</c:v>
                </c:pt>
                <c:pt idx="1">
                  <c:v>51796167</c:v>
                </c:pt>
                <c:pt idx="2">
                  <c:v>6</c:v>
                </c:pt>
                <c:pt idx="3">
                  <c:v>49724941</c:v>
                </c:pt>
                <c:pt idx="4">
                  <c:v>6</c:v>
                </c:pt>
                <c:pt idx="5">
                  <c:v>47324621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A7-4312-B3F9-B71F3FE5EB4F}"/>
            </c:ext>
          </c:extLst>
        </c:ser>
        <c:ser>
          <c:idx val="9"/>
          <c:order val="9"/>
          <c:tx>
            <c:strRef>
              <c:f>'Rekap All 2026'!$B$16:$C$16</c:f>
              <c:strCache>
                <c:ptCount val="2"/>
                <c:pt idx="0">
                  <c:v>10</c:v>
                </c:pt>
                <c:pt idx="1">
                  <c:v>Produksi Cable Tray &amp; Pole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2026'!$D$16:$AY$16</c15:sqref>
                  </c15:fullRef>
                </c:ext>
              </c:extLst>
              <c:f>('Rekap All 2026'!$D$16:$E$16,'Rekap All 2026'!$H$16:$I$16,'Rekap All 2026'!$L$16:$M$16,'Rekap All 2026'!$P$16:$Q$16,'Rekap All 2026'!$T$16:$U$16,'Rekap All 2026'!$X$16:$Y$16,'Rekap All 2026'!$AB$16:$AC$16,'Rekap All 2026'!$AF$16:$AG$16,'Rekap All 2026'!$AJ$16:$AK$16,'Rekap All 2026'!$AN$16:$AO$16,'Rekap All 2026'!$AR$16:$AS$16,'Rekap All 2026'!$AV$16:$AW$16)</c:f>
              <c:numCache>
                <c:formatCode>_(* #,##0_);_(* \(#,##0\);_(* "-"??_);_(@_)</c:formatCode>
                <c:ptCount val="24"/>
                <c:pt idx="0">
                  <c:v>74</c:v>
                </c:pt>
                <c:pt idx="1">
                  <c:v>501242825</c:v>
                </c:pt>
                <c:pt idx="2">
                  <c:v>71</c:v>
                </c:pt>
                <c:pt idx="3">
                  <c:v>472758217</c:v>
                </c:pt>
                <c:pt idx="4">
                  <c:v>71</c:v>
                </c:pt>
                <c:pt idx="5">
                  <c:v>414857313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A7-4312-B3F9-B71F3FE5EB4F}"/>
            </c:ext>
          </c:extLst>
        </c:ser>
        <c:ser>
          <c:idx val="10"/>
          <c:order val="10"/>
          <c:tx>
            <c:strRef>
              <c:f>'Rekap All 2026'!$B$17:$C$17</c:f>
              <c:strCache>
                <c:ptCount val="2"/>
                <c:pt idx="0">
                  <c:v>11</c:v>
                </c:pt>
                <c:pt idx="1">
                  <c:v>Produksi Panel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2026'!$D$17:$AY$17</c15:sqref>
                  </c15:fullRef>
                </c:ext>
              </c:extLst>
              <c:f>('Rekap All 2026'!$D$17:$E$17,'Rekap All 2026'!$H$17:$I$17,'Rekap All 2026'!$L$17:$M$17,'Rekap All 2026'!$P$17:$Q$17,'Rekap All 2026'!$T$17:$U$17,'Rekap All 2026'!$X$17:$Y$17,'Rekap All 2026'!$AB$17:$AC$17,'Rekap All 2026'!$AF$17:$AG$17,'Rekap All 2026'!$AJ$17:$AK$17,'Rekap All 2026'!$AN$17:$AO$17,'Rekap All 2026'!$AR$17:$AS$17,'Rekap All 2026'!$AV$17:$AW$17)</c:f>
              <c:numCache>
                <c:formatCode>_(* #,##0_);_(* \(#,##0\);_(* "-"??_);_(@_)</c:formatCode>
                <c:ptCount val="24"/>
                <c:pt idx="0">
                  <c:v>93</c:v>
                </c:pt>
                <c:pt idx="1">
                  <c:v>482109017</c:v>
                </c:pt>
                <c:pt idx="2">
                  <c:v>85</c:v>
                </c:pt>
                <c:pt idx="3">
                  <c:v>464828372</c:v>
                </c:pt>
                <c:pt idx="4">
                  <c:v>85</c:v>
                </c:pt>
                <c:pt idx="5">
                  <c:v>403977030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A7-4312-B3F9-B71F3FE5EB4F}"/>
            </c:ext>
          </c:extLst>
        </c:ser>
        <c:ser>
          <c:idx val="11"/>
          <c:order val="11"/>
          <c:tx>
            <c:strRef>
              <c:f>'Rekap All 2026'!$B$18:$C$18</c:f>
              <c:strCache>
                <c:ptCount val="2"/>
                <c:pt idx="0">
                  <c:v>12</c:v>
                </c:pt>
                <c:pt idx="1">
                  <c:v>Maintenance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2026'!$D$18:$AY$18</c15:sqref>
                  </c15:fullRef>
                </c:ext>
              </c:extLst>
              <c:f>('Rekap All 2026'!$D$18:$E$18,'Rekap All 2026'!$H$18:$I$18,'Rekap All 2026'!$L$18:$M$18,'Rekap All 2026'!$P$18:$Q$18,'Rekap All 2026'!$T$18:$U$18,'Rekap All 2026'!$X$18:$Y$18,'Rekap All 2026'!$AB$18:$AC$18,'Rekap All 2026'!$AF$18:$AG$18,'Rekap All 2026'!$AJ$18:$AK$18,'Rekap All 2026'!$AN$18:$AO$18,'Rekap All 2026'!$AR$18:$AS$18,'Rekap All 2026'!$AV$18:$AW$18)</c:f>
              <c:numCache>
                <c:formatCode>_(* #,##0_);_(* \(#,##0\);_(* "-"??_);_(@_)</c:formatCode>
                <c:ptCount val="24"/>
                <c:pt idx="0">
                  <c:v>9</c:v>
                </c:pt>
                <c:pt idx="1">
                  <c:v>52807937</c:v>
                </c:pt>
                <c:pt idx="2">
                  <c:v>9</c:v>
                </c:pt>
                <c:pt idx="3">
                  <c:v>51468337</c:v>
                </c:pt>
                <c:pt idx="4">
                  <c:v>9</c:v>
                </c:pt>
                <c:pt idx="5">
                  <c:v>49596263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A7-4312-B3F9-B71F3FE5EB4F}"/>
            </c:ext>
          </c:extLst>
        </c:ser>
        <c:ser>
          <c:idx val="12"/>
          <c:order val="12"/>
          <c:tx>
            <c:strRef>
              <c:f>'Rekap All 2026'!$B$19:$C$19</c:f>
              <c:strCache>
                <c:ptCount val="2"/>
                <c:pt idx="0">
                  <c:v>13</c:v>
                </c:pt>
                <c:pt idx="1">
                  <c:v>Warehouse &amp; Delivery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2026'!$D$19:$AY$19</c15:sqref>
                  </c15:fullRef>
                </c:ext>
              </c:extLst>
              <c:f>('Rekap All 2026'!$D$19:$E$19,'Rekap All 2026'!$H$19:$I$19,'Rekap All 2026'!$L$19:$M$19,'Rekap All 2026'!$P$19:$Q$19,'Rekap All 2026'!$T$19:$U$19,'Rekap All 2026'!$X$19:$Y$19,'Rekap All 2026'!$AB$19:$AC$19,'Rekap All 2026'!$AF$19:$AG$19,'Rekap All 2026'!$AJ$19:$AK$19,'Rekap All 2026'!$AN$19:$AO$19,'Rekap All 2026'!$AR$19:$AS$19,'Rekap All 2026'!$AV$19:$AW$19)</c:f>
              <c:numCache>
                <c:formatCode>_(* #,##0_);_(* \(#,##0\);_(* "-"??_);_(@_)</c:formatCode>
                <c:ptCount val="24"/>
                <c:pt idx="0">
                  <c:v>20</c:v>
                </c:pt>
                <c:pt idx="1">
                  <c:v>151509995</c:v>
                </c:pt>
                <c:pt idx="2">
                  <c:v>20</c:v>
                </c:pt>
                <c:pt idx="3">
                  <c:v>148167878</c:v>
                </c:pt>
                <c:pt idx="4">
                  <c:v>20</c:v>
                </c:pt>
                <c:pt idx="5">
                  <c:v>147554425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A7-4312-B3F9-B71F3FE5EB4F}"/>
            </c:ext>
          </c:extLst>
        </c:ser>
        <c:ser>
          <c:idx val="13"/>
          <c:order val="13"/>
          <c:tx>
            <c:strRef>
              <c:f>'Rekap All 2026'!$B$20:$C$20</c:f>
              <c:strCache>
                <c:ptCount val="2"/>
                <c:pt idx="0">
                  <c:v>14</c:v>
                </c:pt>
                <c:pt idx="1">
                  <c:v>Elektronika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2026'!$D$20:$AY$20</c15:sqref>
                  </c15:fullRef>
                </c:ext>
              </c:extLst>
              <c:f>('Rekap All 2026'!$D$20:$E$20,'Rekap All 2026'!$H$20:$I$20,'Rekap All 2026'!$L$20:$M$20,'Rekap All 2026'!$P$20:$Q$20,'Rekap All 2026'!$T$20:$U$20,'Rekap All 2026'!$X$20:$Y$20,'Rekap All 2026'!$AB$20:$AC$20,'Rekap All 2026'!$AF$20:$AG$20,'Rekap All 2026'!$AJ$20:$AK$20,'Rekap All 2026'!$AN$20:$AO$20,'Rekap All 2026'!$AR$20:$AS$20,'Rekap All 2026'!$AV$20:$AW$20)</c:f>
              <c:numCache>
                <c:formatCode>_(* #,##0_);_(* \(#,##0\);_(* "-"??_);_(@_)</c:formatCode>
                <c:ptCount val="24"/>
                <c:pt idx="0">
                  <c:v>3</c:v>
                </c:pt>
                <c:pt idx="1">
                  <c:v>31336469</c:v>
                </c:pt>
                <c:pt idx="2">
                  <c:v>3</c:v>
                </c:pt>
                <c:pt idx="3">
                  <c:v>29858981</c:v>
                </c:pt>
                <c:pt idx="4">
                  <c:v>3</c:v>
                </c:pt>
                <c:pt idx="5">
                  <c:v>29074599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A7-4312-B3F9-B71F3FE5EB4F}"/>
            </c:ext>
          </c:extLst>
        </c:ser>
        <c:ser>
          <c:idx val="14"/>
          <c:order val="14"/>
          <c:tx>
            <c:strRef>
              <c:f>'Rekap All 2026'!$B$21:$C$21</c:f>
              <c:strCache>
                <c:ptCount val="2"/>
                <c:pt idx="0">
                  <c:v>15</c:v>
                </c:pt>
                <c:pt idx="1">
                  <c:v>Engineering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2026'!$D$21:$AY$21</c15:sqref>
                  </c15:fullRef>
                </c:ext>
              </c:extLst>
              <c:f>('Rekap All 2026'!$D$21:$E$21,'Rekap All 2026'!$H$21:$I$21,'Rekap All 2026'!$L$21:$M$21,'Rekap All 2026'!$P$21:$Q$21,'Rekap All 2026'!$T$21:$U$21,'Rekap All 2026'!$X$21:$Y$21,'Rekap All 2026'!$AB$21:$AC$21,'Rekap All 2026'!$AF$21:$AG$21,'Rekap All 2026'!$AJ$21:$AK$21,'Rekap All 2026'!$AN$21:$AO$21,'Rekap All 2026'!$AR$21:$AS$21,'Rekap All 2026'!$AV$21:$AW$21)</c:f>
              <c:numCache>
                <c:formatCode>_(* #,##0_);_(* \(#,##0\);_(* "-"??_);_(@_)</c:formatCode>
                <c:ptCount val="24"/>
                <c:pt idx="0">
                  <c:v>8</c:v>
                </c:pt>
                <c:pt idx="1">
                  <c:v>85071224</c:v>
                </c:pt>
                <c:pt idx="2">
                  <c:v>8</c:v>
                </c:pt>
                <c:pt idx="3">
                  <c:v>78344172</c:v>
                </c:pt>
                <c:pt idx="4">
                  <c:v>8</c:v>
                </c:pt>
                <c:pt idx="5">
                  <c:v>75699193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A7-4312-B3F9-B71F3FE5EB4F}"/>
            </c:ext>
          </c:extLst>
        </c:ser>
        <c:ser>
          <c:idx val="15"/>
          <c:order val="15"/>
          <c:tx>
            <c:strRef>
              <c:f>'Rekap All 2026'!$B$22:$C$22</c:f>
              <c:strCache>
                <c:ptCount val="2"/>
                <c:pt idx="0">
                  <c:v>16</c:v>
                </c:pt>
                <c:pt idx="1">
                  <c:v>IT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'Rekap All 2026'!$D$5:$AY$6</c15:sqref>
                  </c15:fullRef>
                </c:ext>
              </c:extLst>
              <c:f>'Rekap All 2026'!$D$5:$AY$6</c:f>
              <c:multiLvlStrCache>
                <c:ptCount val="24"/>
                <c:lvl>
                  <c:pt idx="0">
                    <c:v>Jml Kary.</c:v>
                  </c:pt>
                  <c:pt idx="1">
                    <c:v>Nilai</c:v>
                  </c:pt>
                  <c:pt idx="2">
                    <c:v>Jml Kary.</c:v>
                  </c:pt>
                  <c:pt idx="3">
                    <c:v>Nilai</c:v>
                  </c:pt>
                  <c:pt idx="4">
                    <c:v>Jml Kary.</c:v>
                  </c:pt>
                  <c:pt idx="5">
                    <c:v>Nilai</c:v>
                  </c:pt>
                  <c:pt idx="6">
                    <c:v>Jml Kary.</c:v>
                  </c:pt>
                  <c:pt idx="7">
                    <c:v>Nilai</c:v>
                  </c:pt>
                  <c:pt idx="8">
                    <c:v>Jml Kary.</c:v>
                  </c:pt>
                  <c:pt idx="9">
                    <c:v>Nilai</c:v>
                  </c:pt>
                  <c:pt idx="10">
                    <c:v>Jml Kary.</c:v>
                  </c:pt>
                  <c:pt idx="11">
                    <c:v>Nilai</c:v>
                  </c:pt>
                  <c:pt idx="12">
                    <c:v>Jml Kary.</c:v>
                  </c:pt>
                  <c:pt idx="13">
                    <c:v>Nilai</c:v>
                  </c:pt>
                  <c:pt idx="14">
                    <c:v>Jml Kary.</c:v>
                  </c:pt>
                  <c:pt idx="15">
                    <c:v>Nilai</c:v>
                  </c:pt>
                  <c:pt idx="16">
                    <c:v>Jml Kary.</c:v>
                  </c:pt>
                  <c:pt idx="17">
                    <c:v>Nilai</c:v>
                  </c:pt>
                  <c:pt idx="18">
                    <c:v>Jml Kary.</c:v>
                  </c:pt>
                  <c:pt idx="19">
                    <c:v>Nilai</c:v>
                  </c:pt>
                  <c:pt idx="20">
                    <c:v>Jml Kary.</c:v>
                  </c:pt>
                  <c:pt idx="21">
                    <c:v>Nilai</c:v>
                  </c:pt>
                  <c:pt idx="22">
                    <c:v>Jml Kary.</c:v>
                  </c:pt>
                  <c:pt idx="23">
                    <c:v>Nilai</c:v>
                  </c:pt>
                </c:lvl>
                <c:lvl>
                  <c:pt idx="0">
                    <c:v>Januari</c:v>
                  </c:pt>
                  <c:pt idx="2">
                    <c:v>Februari</c:v>
                  </c:pt>
                  <c:pt idx="4">
                    <c:v>Maret</c:v>
                  </c:pt>
                  <c:pt idx="6">
                    <c:v>April</c:v>
                  </c:pt>
                  <c:pt idx="8">
                    <c:v>Mei</c:v>
                  </c:pt>
                  <c:pt idx="10">
                    <c:v>Juni</c:v>
                  </c:pt>
                  <c:pt idx="12">
                    <c:v>Juli</c:v>
                  </c:pt>
                  <c:pt idx="14">
                    <c:v>Agustus</c:v>
                  </c:pt>
                  <c:pt idx="16">
                    <c:v>September</c:v>
                  </c:pt>
                  <c:pt idx="18">
                    <c:v>Oktober</c:v>
                  </c:pt>
                  <c:pt idx="20">
                    <c:v>Nopember</c:v>
                  </c:pt>
                  <c:pt idx="22">
                    <c:v>Desember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'Rekap All 2026'!$D$22:$AY$22</c15:sqref>
                  </c15:fullRef>
                </c:ext>
              </c:extLst>
              <c:f>('Rekap All 2026'!$D$22:$E$22,'Rekap All 2026'!$H$22:$I$22,'Rekap All 2026'!$L$22:$M$22,'Rekap All 2026'!$P$22:$Q$22,'Rekap All 2026'!$T$22:$U$22,'Rekap All 2026'!$X$22:$Y$22,'Rekap All 2026'!$AB$22:$AC$22,'Rekap All 2026'!$AF$22:$AG$22,'Rekap All 2026'!$AJ$22:$AK$22,'Rekap All 2026'!$AN$22:$AO$22,'Rekap All 2026'!$AR$22:$AS$22,'Rekap All 2026'!$AV$22:$AW$22)</c:f>
              <c:numCache>
                <c:formatCode>_(* #,##0_);_(* \(#,##0\);_(* "-"??_);_(@_)</c:formatCode>
                <c:ptCount val="24"/>
                <c:pt idx="0">
                  <c:v>3</c:v>
                </c:pt>
                <c:pt idx="1">
                  <c:v>25376338</c:v>
                </c:pt>
                <c:pt idx="2">
                  <c:v>3</c:v>
                </c:pt>
                <c:pt idx="3">
                  <c:v>25525124</c:v>
                </c:pt>
                <c:pt idx="4">
                  <c:v>4</c:v>
                </c:pt>
                <c:pt idx="5">
                  <c:v>23970615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6A7-4312-B3F9-B71F3FE5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669648"/>
        <c:axId val="1366671088"/>
      </c:barChart>
      <c:catAx>
        <c:axId val="136666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66671088"/>
        <c:crosses val="autoZero"/>
        <c:auto val="1"/>
        <c:lblAlgn val="ctr"/>
        <c:lblOffset val="100"/>
        <c:noMultiLvlLbl val="0"/>
      </c:catAx>
      <c:valAx>
        <c:axId val="13666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6666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179168"/>
        <c:axId val="1477179712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179168"/>
        <c:axId val="1477179712"/>
      </c:lineChart>
      <c:catAx>
        <c:axId val="14771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7179712"/>
        <c:crosses val="autoZero"/>
        <c:auto val="1"/>
        <c:lblAlgn val="ctr"/>
        <c:lblOffset val="100"/>
        <c:noMultiLvlLbl val="0"/>
      </c:catAx>
      <c:valAx>
        <c:axId val="14771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71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186080"/>
        <c:axId val="1319186624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186080"/>
        <c:axId val="1319186624"/>
      </c:lineChart>
      <c:catAx>
        <c:axId val="13191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19186624"/>
        <c:crosses val="autoZero"/>
        <c:auto val="1"/>
        <c:lblAlgn val="ctr"/>
        <c:lblOffset val="100"/>
        <c:noMultiLvlLbl val="0"/>
      </c:catAx>
      <c:valAx>
        <c:axId val="131918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1918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052704"/>
        <c:axId val="1523049440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052704"/>
        <c:axId val="1523049440"/>
      </c:lineChart>
      <c:catAx>
        <c:axId val="15230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49440"/>
        <c:crosses val="autoZero"/>
        <c:auto val="1"/>
        <c:lblAlgn val="ctr"/>
        <c:lblOffset val="100"/>
        <c:noMultiLvlLbl val="0"/>
      </c:catAx>
      <c:valAx>
        <c:axId val="15230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045632"/>
        <c:axId val="1523046176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045632"/>
        <c:axId val="1523046176"/>
      </c:lineChart>
      <c:catAx>
        <c:axId val="15230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46176"/>
        <c:crosses val="autoZero"/>
        <c:auto val="1"/>
        <c:lblAlgn val="ctr"/>
        <c:lblOffset val="100"/>
        <c:noMultiLvlLbl val="0"/>
      </c:catAx>
      <c:valAx>
        <c:axId val="15230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4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049984"/>
        <c:axId val="1523045088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049984"/>
        <c:axId val="1523045088"/>
      </c:lineChart>
      <c:catAx>
        <c:axId val="152304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45088"/>
        <c:crosses val="autoZero"/>
        <c:auto val="1"/>
        <c:lblAlgn val="ctr"/>
        <c:lblOffset val="100"/>
        <c:noMultiLvlLbl val="0"/>
      </c:catAx>
      <c:valAx>
        <c:axId val="15230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4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054336"/>
        <c:axId val="1523059232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054336"/>
        <c:axId val="1523059232"/>
      </c:lineChart>
      <c:catAx>
        <c:axId val="15230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59232"/>
        <c:crosses val="autoZero"/>
        <c:auto val="1"/>
        <c:lblAlgn val="ctr"/>
        <c:lblOffset val="100"/>
        <c:noMultiLvlLbl val="0"/>
      </c:catAx>
      <c:valAx>
        <c:axId val="15230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 Januari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226191087.61747015</c:v>
              </c:pt>
              <c:pt idx="1">
                <c:v>0</c:v>
              </c:pt>
              <c:pt idx="2">
                <c:v>0</c:v>
              </c:pt>
              <c:pt idx="3">
                <c:v>3894765.8266142858</c:v>
              </c:pt>
              <c:pt idx="4">
                <c:v>80296493</c:v>
              </c:pt>
              <c:pt idx="5">
                <c:v>7256121.4836223507</c:v>
              </c:pt>
              <c:pt idx="6">
                <c:v>0</c:v>
              </c:pt>
              <c:pt idx="7">
                <c:v>0</c:v>
              </c:pt>
              <c:pt idx="8">
                <c:v>7265858.1073739892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16057630.250481695</c:v>
              </c:pt>
              <c:pt idx="14">
                <c:v>12985702.949377842</c:v>
              </c:pt>
              <c:pt idx="15">
                <c:v>98434516</c:v>
              </c:pt>
            </c:numLit>
          </c:val>
          <c:extLst>
            <c:ext xmlns:c16="http://schemas.microsoft.com/office/drawing/2014/chart" uri="{C3380CC4-5D6E-409C-BE32-E72D297353CC}">
              <c16:uniqueId val="{00000000-4DF6-430E-A3B3-F2F62566DCD7}"/>
            </c:ext>
          </c:extLst>
        </c:ser>
        <c:ser>
          <c:idx val="1"/>
          <c:order val="1"/>
          <c:tx>
            <c:v> Februari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241847325.63343492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86909701</c:v>
              </c:pt>
              <c:pt idx="5">
                <c:v>7030474.0847784197</c:v>
              </c:pt>
              <c:pt idx="6">
                <c:v>0</c:v>
              </c:pt>
              <c:pt idx="7">
                <c:v>0</c:v>
              </c:pt>
              <c:pt idx="8">
                <c:v>9169787.384830635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20612199.47701624</c:v>
              </c:pt>
              <c:pt idx="14">
                <c:v>13297615.145909633</c:v>
              </c:pt>
              <c:pt idx="15">
                <c:v>98761048</c:v>
              </c:pt>
            </c:numLit>
          </c:val>
          <c:extLst>
            <c:ext xmlns:c16="http://schemas.microsoft.com/office/drawing/2014/chart" uri="{C3380CC4-5D6E-409C-BE32-E72D297353CC}">
              <c16:uniqueId val="{00000001-4DF6-430E-A3B3-F2F62566DCD7}"/>
            </c:ext>
          </c:extLst>
        </c:ser>
        <c:ser>
          <c:idx val="2"/>
          <c:order val="2"/>
          <c:tx>
            <c:v> Maret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242884311.88309082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82083469</c:v>
              </c:pt>
              <c:pt idx="5">
                <c:v>7764040.5587668596</c:v>
              </c:pt>
              <c:pt idx="6">
                <c:v>0</c:v>
              </c:pt>
              <c:pt idx="7">
                <c:v>0</c:v>
              </c:pt>
              <c:pt idx="8">
                <c:v>8284721.0380098298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22145034.599504501</c:v>
              </c:pt>
              <c:pt idx="14">
                <c:v>13620615.14590963</c:v>
              </c:pt>
              <c:pt idx="15">
                <c:v>102748931</c:v>
              </c:pt>
            </c:numLit>
          </c:val>
          <c:extLst>
            <c:ext xmlns:c16="http://schemas.microsoft.com/office/drawing/2014/chart" uri="{C3380CC4-5D6E-409C-BE32-E72D297353CC}">
              <c16:uniqueId val="{00000002-4DF6-430E-A3B3-F2F62566DCD7}"/>
            </c:ext>
          </c:extLst>
        </c:ser>
        <c:ser>
          <c:idx val="3"/>
          <c:order val="3"/>
          <c:tx>
            <c:v> April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238005656.55952907</c:v>
              </c:pt>
              <c:pt idx="1">
                <c:v>0</c:v>
              </c:pt>
              <c:pt idx="2">
                <c:v>0</c:v>
              </c:pt>
              <c:pt idx="3">
                <c:v>6237500.5409000004</c:v>
              </c:pt>
              <c:pt idx="4">
                <c:v>91071396</c:v>
              </c:pt>
              <c:pt idx="5">
                <c:v>6734283.3333333302</c:v>
              </c:pt>
              <c:pt idx="6">
                <c:v>0</c:v>
              </c:pt>
              <c:pt idx="7">
                <c:v>0</c:v>
              </c:pt>
              <c:pt idx="8">
                <c:v>7735707.1333855502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17429153.234241672</c:v>
              </c:pt>
              <c:pt idx="14">
                <c:v>14354630.317668509</c:v>
              </c:pt>
              <c:pt idx="15">
                <c:v>94442986</c:v>
              </c:pt>
            </c:numLit>
          </c:val>
          <c:extLst>
            <c:ext xmlns:c16="http://schemas.microsoft.com/office/drawing/2014/chart" uri="{C3380CC4-5D6E-409C-BE32-E72D297353CC}">
              <c16:uniqueId val="{00000003-4DF6-430E-A3B3-F2F62566DCD7}"/>
            </c:ext>
          </c:extLst>
        </c:ser>
        <c:ser>
          <c:idx val="4"/>
          <c:order val="4"/>
          <c:tx>
            <c:v> 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248370006.50351477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90739981</c:v>
              </c:pt>
              <c:pt idx="5">
                <c:v>7593040.5587668596</c:v>
              </c:pt>
              <c:pt idx="6">
                <c:v>0</c:v>
              </c:pt>
              <c:pt idx="7">
                <c:v>0</c:v>
              </c:pt>
              <c:pt idx="8">
                <c:v>9103685.6767381504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17679017.53371869</c:v>
              </c:pt>
              <c:pt idx="14">
                <c:v>13770629.050533911</c:v>
              </c:pt>
              <c:pt idx="15">
                <c:v>103658456</c:v>
              </c:pt>
            </c:numLit>
          </c:val>
          <c:extLst>
            <c:ext xmlns:c16="http://schemas.microsoft.com/office/drawing/2014/chart" uri="{C3380CC4-5D6E-409C-BE32-E72D297353CC}">
              <c16:uniqueId val="{00000004-4DF6-430E-A3B3-F2F62566DCD7}"/>
            </c:ext>
          </c:extLst>
        </c:ser>
        <c:ser>
          <c:idx val="5"/>
          <c:order val="5"/>
          <c:tx>
            <c:v> Juni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236118287.75539741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80529059</c:v>
              </c:pt>
              <c:pt idx="5">
                <c:v>7764792.0038535642</c:v>
              </c:pt>
              <c:pt idx="6">
                <c:v>0</c:v>
              </c:pt>
              <c:pt idx="7">
                <c:v>0</c:v>
              </c:pt>
              <c:pt idx="8">
                <c:v>15067327.088406112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16479251.500137627</c:v>
              </c:pt>
              <c:pt idx="14">
                <c:v>12773805.622100111</c:v>
              </c:pt>
              <c:pt idx="15">
                <c:v>97437552</c:v>
              </c:pt>
            </c:numLit>
          </c:val>
          <c:extLst>
            <c:ext xmlns:c16="http://schemas.microsoft.com/office/drawing/2014/chart" uri="{C3380CC4-5D6E-409C-BE32-E72D297353CC}">
              <c16:uniqueId val="{00000005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048352"/>
        <c:axId val="1523050528"/>
      </c:barChart>
      <c:lineChart>
        <c:grouping val="standard"/>
        <c:varyColors val="0"/>
        <c:ser>
          <c:idx val="6"/>
          <c:order val="6"/>
          <c:tx>
            <c:v> Juli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225329437.10386974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80928435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15653719.391048556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13235428.316429865</c:v>
              </c:pt>
              <c:pt idx="15">
                <c:v>88578079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DF6-430E-A3B3-F2F62566DCD7}"/>
            </c:ext>
          </c:extLst>
        </c:ser>
        <c:ser>
          <c:idx val="7"/>
          <c:order val="7"/>
          <c:tx>
            <c:v> Agustus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223619517.6732339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75983301</c:v>
              </c:pt>
              <c:pt idx="5">
                <c:v>7257621.4836223507</c:v>
              </c:pt>
              <c:pt idx="6">
                <c:v>0</c:v>
              </c:pt>
              <c:pt idx="7">
                <c:v>0</c:v>
              </c:pt>
              <c:pt idx="8">
                <c:v>15263392.315904047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14134219.845857417</c:v>
              </c:pt>
              <c:pt idx="14">
                <c:v>13283649.486950096</c:v>
              </c:pt>
              <c:pt idx="15">
                <c:v>91630833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DF6-430E-A3B3-F2F62566DCD7}"/>
            </c:ext>
          </c:extLst>
        </c:ser>
        <c:ser>
          <c:idx val="8"/>
          <c:order val="8"/>
          <c:tx>
            <c:v> September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230721641.10467085</c:v>
              </c:pt>
              <c:pt idx="1">
                <c:v>0</c:v>
              </c:pt>
              <c:pt idx="2">
                <c:v>0</c:v>
              </c:pt>
              <c:pt idx="3">
                <c:v>5825196.6837571431</c:v>
              </c:pt>
              <c:pt idx="4">
                <c:v>83863123</c:v>
              </c:pt>
              <c:pt idx="5">
                <c:v>7932959.6339113675</c:v>
              </c:pt>
              <c:pt idx="6">
                <c:v>0</c:v>
              </c:pt>
              <c:pt idx="7">
                <c:v>0</c:v>
              </c:pt>
              <c:pt idx="8">
                <c:v>9602532.020668786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13609653.371868979</c:v>
              </c:pt>
              <c:pt idx="14">
                <c:v>14193317.394464549</c:v>
              </c:pt>
              <c:pt idx="15">
                <c:v>95694859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4DF6-430E-A3B3-F2F62566DCD7}"/>
            </c:ext>
          </c:extLst>
        </c:ser>
        <c:ser>
          <c:idx val="9"/>
          <c:order val="9"/>
          <c:tx>
            <c:v> Oktober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213668514.9143143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73423846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8015034.2085300582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14897225.626204237</c:v>
              </c:pt>
              <c:pt idx="14">
                <c:v>13162503.979913153</c:v>
              </c:pt>
              <c:pt idx="15">
                <c:v>90508114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4DF6-430E-A3B3-F2F62566DCD7}"/>
            </c:ext>
          </c:extLst>
        </c:ser>
        <c:ser>
          <c:idx val="10"/>
          <c:order val="10"/>
          <c:tx>
            <c:v> Nopember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220565199.43222383</c:v>
              </c:pt>
              <c:pt idx="1">
                <c:v>0</c:v>
              </c:pt>
              <c:pt idx="2">
                <c:v>0</c:v>
              </c:pt>
              <c:pt idx="3">
                <c:v>6066500.5409000004</c:v>
              </c:pt>
              <c:pt idx="4">
                <c:v>74845379</c:v>
              </c:pt>
              <c:pt idx="5">
                <c:v>7595290.5587668596</c:v>
              </c:pt>
              <c:pt idx="6">
                <c:v>0</c:v>
              </c:pt>
              <c:pt idx="7">
                <c:v>0</c:v>
              </c:pt>
              <c:pt idx="8">
                <c:v>9788488.1189346816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13530930.553261766</c:v>
              </c:pt>
              <c:pt idx="14">
                <c:v>13767774.6603605</c:v>
              </c:pt>
              <c:pt idx="15">
                <c:v>94970836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4DF6-430E-A3B3-F2F62566DCD7}"/>
            </c:ext>
          </c:extLst>
        </c:ser>
        <c:ser>
          <c:idx val="11"/>
          <c:order val="11"/>
          <c:tx>
            <c:v> Desember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(Total)</c:v>
              </c:pt>
              <c:pt idx="1">
                <c:v>Elektrikal</c:v>
              </c:pt>
              <c:pt idx="2">
                <c:v>Elektronika</c:v>
              </c:pt>
              <c:pt idx="3">
                <c:v>Engineering</c:v>
              </c:pt>
              <c:pt idx="4">
                <c:v>HRD,GA &amp; Legal (OB &amp; SECURITY)</c:v>
              </c:pt>
              <c:pt idx="5">
                <c:v>IT</c:v>
              </c:pt>
              <c:pt idx="6">
                <c:v>Keuangan &amp; Akunting</c:v>
              </c:pt>
              <c:pt idx="7">
                <c:v>Maintenance</c:v>
              </c:pt>
              <c:pt idx="8">
                <c:v>Marketing</c:v>
              </c:pt>
              <c:pt idx="9">
                <c:v>MR, QC &amp; HSE</c:v>
              </c:pt>
              <c:pt idx="10">
                <c:v>None</c:v>
              </c:pt>
              <c:pt idx="11">
                <c:v>PPIC</c:v>
              </c:pt>
              <c:pt idx="12">
                <c:v>Produksi Cable Tray &amp; Pole</c:v>
              </c:pt>
              <c:pt idx="13">
                <c:v>Produksi Panel</c:v>
              </c:pt>
              <c:pt idx="14">
                <c:v>Purchasing &amp; EIM</c:v>
              </c:pt>
              <c:pt idx="15">
                <c:v>Warehouse &amp; Delivery</c:v>
              </c:pt>
            </c:strLit>
          </c:cat>
          <c:val>
            <c:numLit>
              <c:formatCode>General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4DF6-430E-A3B3-F2F62566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048352"/>
        <c:axId val="1523050528"/>
      </c:lineChart>
      <c:catAx>
        <c:axId val="15230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50528"/>
        <c:crosses val="autoZero"/>
        <c:auto val="1"/>
        <c:lblAlgn val="ctr"/>
        <c:lblOffset val="100"/>
        <c:noMultiLvlLbl val="0"/>
      </c:catAx>
      <c:valAx>
        <c:axId val="15230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304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37</xdr:row>
      <xdr:rowOff>117762</xdr:rowOff>
    </xdr:from>
    <xdr:to>
      <xdr:col>50</xdr:col>
      <xdr:colOff>775854</xdr:colOff>
      <xdr:row>60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3C76E-1B48-270D-0A1A-ED0EB3D5F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32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32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32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32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32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32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95248</xdr:colOff>
      <xdr:row>25</xdr:row>
      <xdr:rowOff>0</xdr:rowOff>
    </xdr:from>
    <xdr:to>
      <xdr:col>28</xdr:col>
      <xdr:colOff>333373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F37"/>
  <sheetViews>
    <sheetView tabSelected="1" zoomScale="70" zoomScaleNormal="70" workbookViewId="0">
      <pane xSplit="3" ySplit="6" topLeftCell="D7" activePane="bottomRight" state="frozen"/>
      <selection activeCell="N16" sqref="N16"/>
      <selection pane="topRight" activeCell="N16" sqref="N16"/>
      <selection pane="bottomLeft" activeCell="N16" sqref="N16"/>
      <selection pane="bottomRight" activeCell="M29" sqref="M29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7" width="8.1796875" customWidth="1"/>
    <col min="8" max="8" width="6.26953125" customWidth="1"/>
    <col min="9" max="9" width="14.54296875" bestFit="1" customWidth="1"/>
    <col min="10" max="11" width="8.1796875" customWidth="1"/>
    <col min="12" max="12" width="6.26953125" customWidth="1"/>
    <col min="13" max="13" width="14.54296875" bestFit="1" customWidth="1"/>
    <col min="14" max="15" width="8" customWidth="1"/>
    <col min="16" max="16" width="6.26953125" customWidth="1"/>
    <col min="17" max="17" width="17.54296875" bestFit="1" customWidth="1"/>
    <col min="18" max="19" width="8.1796875" bestFit="1" customWidth="1"/>
    <col min="20" max="20" width="6.26953125" customWidth="1"/>
    <col min="21" max="21" width="15.26953125" bestFit="1" customWidth="1"/>
    <col min="22" max="23" width="8" customWidth="1"/>
    <col min="24" max="24" width="6.26953125" customWidth="1"/>
    <col min="25" max="25" width="14.81640625" bestFit="1" customWidth="1"/>
    <col min="26" max="27" width="8.1796875" customWidth="1"/>
    <col min="28" max="28" width="6.26953125" customWidth="1"/>
    <col min="29" max="29" width="15.26953125" bestFit="1" customWidth="1"/>
    <col min="30" max="31" width="8.1796875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6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8.1796875" customWidth="1"/>
    <col min="48" max="48" width="6.26953125" customWidth="1"/>
    <col min="49" max="49" width="15.81640625" bestFit="1" customWidth="1"/>
    <col min="50" max="50" width="8.1796875" customWidth="1"/>
    <col min="51" max="51" width="16.26953125" bestFit="1" customWidth="1"/>
    <col min="52" max="52" width="15.81640625" bestFit="1" customWidth="1"/>
    <col min="53" max="53" width="8.1796875" customWidth="1"/>
    <col min="54" max="54" width="8.26953125" customWidth="1"/>
    <col min="55" max="58" width="15.81640625" customWidth="1"/>
  </cols>
  <sheetData>
    <row r="1" spans="2:58" x14ac:dyDescent="0.35">
      <c r="B1" t="s">
        <v>56</v>
      </c>
      <c r="AW1" s="8"/>
      <c r="AZ1" s="8"/>
    </row>
    <row r="2" spans="2:58" x14ac:dyDescent="0.35">
      <c r="B2" t="s">
        <v>57</v>
      </c>
      <c r="AS2" s="55" t="s">
        <v>58</v>
      </c>
      <c r="AW2" s="8"/>
      <c r="AZ2" s="8"/>
    </row>
    <row r="3" spans="2:58" x14ac:dyDescent="0.35">
      <c r="B3" t="s">
        <v>79</v>
      </c>
      <c r="AO3" s="6"/>
    </row>
    <row r="4" spans="2:58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  <c r="BC5" s="72">
        <v>2025</v>
      </c>
      <c r="BD5" s="72"/>
      <c r="BE5" s="72"/>
      <c r="BF5" s="72"/>
    </row>
    <row r="6" spans="2:58" s="14" customFormat="1" ht="29" x14ac:dyDescent="0.35">
      <c r="B6" s="12"/>
      <c r="C6" s="12"/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32</v>
      </c>
      <c r="BA6" s="13" t="s">
        <v>27</v>
      </c>
      <c r="BB6" s="13" t="s">
        <v>28</v>
      </c>
      <c r="BC6" s="64" t="s">
        <v>75</v>
      </c>
      <c r="BD6" s="64" t="s">
        <v>76</v>
      </c>
      <c r="BE6" s="64" t="s">
        <v>77</v>
      </c>
      <c r="BF6" s="64" t="s">
        <v>78</v>
      </c>
    </row>
    <row r="7" spans="2:58" s="6" customFormat="1" x14ac:dyDescent="0.35">
      <c r="B7" s="23">
        <v>1</v>
      </c>
      <c r="C7" s="3" t="s">
        <v>31</v>
      </c>
      <c r="D7" s="7">
        <f>NPA!D7+NES!D7+'2026-PKL NPA'!D7+'2026- Harian NES'!D7+'2026-Harian NPA'!D7+'2026-LPK MKS NPA'!D7+'2026-LPK MKM NPA'!D7+'2026-LPK DKP NPA '!D7+'2026-LPK CTPS NPA'!D7+'2026-LPK CDB NPA'!D7+'2026-OS CTPS NPA'!D7+'2026-OS CDB NPA'!D7</f>
        <v>2</v>
      </c>
      <c r="E7" s="7">
        <f>NPA!E7+NES!E7+'2026-PKL NPA'!E7+'2026- Harian NES'!E7+'2026-Harian NPA'!E7+'2026-LPK MKS NPA'!E7+'2026-LPK MKM NPA'!E7+'2026-LPK DKP NPA '!E7+'2026-LPK CTPS NPA'!E7+'2026-LPK CDB NPA'!E7+'2026-OS CTPS NPA'!E7+'2026-OS CDB NPA'!E7</f>
        <v>105169321</v>
      </c>
      <c r="F7" s="11">
        <f t="shared" ref="F7:F22" si="0">D7/$D$24</f>
        <v>6.1538461538461538E-3</v>
      </c>
      <c r="G7" s="11">
        <f t="shared" ref="G7:G22" si="1">E7/$E$24</f>
        <v>4.21069556778218E-2</v>
      </c>
      <c r="H7" s="7">
        <f>NPA!H7+NES!H7+'2026-PKL NPA'!H7+'2026- Harian NES'!H7+'2026-Harian NPA'!H7+'2026-LPK MKS NPA'!H7+'2026-LPK MKM NPA'!H7+'2026-LPK DKP NPA '!H7+'2026-LPK CTPS NPA'!H7+'2026-LPK CDB NPA'!H7+'2026-OS CTPS NPA'!H7+'2026-OS CDB NPA'!H7</f>
        <v>2</v>
      </c>
      <c r="I7" s="7">
        <v>75504329</v>
      </c>
      <c r="J7" s="11">
        <f t="shared" ref="J7:J22" si="2">H7/$H$24</f>
        <v>6.4308681672025723E-3</v>
      </c>
      <c r="K7" s="11">
        <f t="shared" ref="K7:K22" si="3">I7/$I$24</f>
        <v>3.2432180603181732E-2</v>
      </c>
      <c r="L7" s="7">
        <f>NPA!L7+NES!L7+'2026-PKL NPA'!L7+'2026- Harian NES'!L7+'2026-Harian NPA'!L7+'2026-LPK MKS NPA'!L7+'2026-LPK MKM NPA'!L7+'2026-LPK DKP NPA '!L7+'2026-LPK CTPS NPA'!L7+'2026-LPK CDB NPA'!L7+'2026-OS CTPS NPA'!L7+'2026-OS CDB NPA'!L7</f>
        <v>2</v>
      </c>
      <c r="M7" s="7">
        <f>NPA!M7+NES!M7+'2026-PKL NPA'!M7+'2026- Harian NES'!M7+'2026-Harian NPA'!M7+'2026-LPK MKS NPA'!M7+'2026-LPK MKM NPA'!M7+'2026-LPK DKP NPA '!M7+'2026-LPK CTPS NPA'!M7+'2026-LPK CDB NPA'!M7+'2026-OS CTPS NPA'!M7+'2026-OS CDB NPA'!M7</f>
        <v>74124788</v>
      </c>
      <c r="N7" s="11">
        <f t="shared" ref="N7:N22" si="4">L7/$L$24</f>
        <v>6.4308681672025723E-3</v>
      </c>
      <c r="O7" s="11">
        <f t="shared" ref="O7:O22" si="5">M7/$M$24</f>
        <v>3.4178902163809061E-2</v>
      </c>
      <c r="P7" s="7">
        <f>NPA!P7+NES!P7+'2026-PKL NPA'!P7+'2026- Harian NES'!P7+'2026-Harian NPA'!P7+'2026-LPK MKS NPA'!P7+'2026-LPK MKM NPA'!P7+'2026-LPK DKP NPA '!P7+'2026-LPK CTPS NPA'!P7+'2026-LPK CDB NPA'!P7+'2026-OS CTPS NPA'!P7+'2026-OS CDB NPA'!P7</f>
        <v>0</v>
      </c>
      <c r="Q7" s="7">
        <f>NPA!Q7+NES!Q7+'2026-PKL NPA'!Q7+'2026- Harian NES'!Q7+'2026-Harian NPA'!Q7+'2026-LPK MKS NPA'!Q7+'2026-LPK MKM NPA'!Q7+'2026-LPK DKP NPA '!Q7+'2026-LPK CTPS NPA'!Q7+'2026-LPK CDB NPA'!Q7+'2026-OS CTPS NPA'!Q7+'2026-OS CDB NPA'!Q7</f>
        <v>0</v>
      </c>
      <c r="R7" s="11" t="e">
        <f t="shared" ref="R7:R22" si="6">P7/$P$24</f>
        <v>#DIV/0!</v>
      </c>
      <c r="S7" s="11" t="e">
        <f t="shared" ref="S7:S22" si="7">Q7/$Q$24</f>
        <v>#DIV/0!</v>
      </c>
      <c r="T7" s="7">
        <f>NPA!T7+NES!T7+'2026-PKL NPA'!T7+'2026- Harian NES'!T7+'2026-Harian NPA'!T7+'2026-LPK MKS NPA'!T7+'2026-LPK MKM NPA'!T7+'2026-LPK DKP NPA '!T7+'2026-LPK CTPS NPA'!T7+'2026-LPK CDB NPA'!T7+'2026-OS CTPS NPA'!T7+'2026-OS CDB NPA'!T7</f>
        <v>0</v>
      </c>
      <c r="U7" s="7">
        <f>NPA!U7+NES!U7+'2026-PKL NPA'!U7+'2026- Harian NES'!U7+'2026-Harian NPA'!U7+'2026-LPK MKS NPA'!U7+'2026-LPK MKM NPA'!U7+'2026-LPK DKP NPA '!U7+'2026-LPK CTPS NPA'!U7+'2026-LPK CDB NPA'!U7+'2026-OS CTPS NPA'!U7+'2026-OS CDB NPA'!U7</f>
        <v>0</v>
      </c>
      <c r="V7" s="11" t="e">
        <f t="shared" ref="V7:V22" si="8">T7/$T$24</f>
        <v>#DIV/0!</v>
      </c>
      <c r="W7" s="11" t="e">
        <f t="shared" ref="W7:W22" si="9">U7/$U$24</f>
        <v>#DIV/0!</v>
      </c>
      <c r="X7" s="7">
        <f>NPA!X7+NES!X7+'2026-PKL NPA'!X7+'2026- Harian NES'!X7+'2026-Harian NPA'!X7+'2026-LPK MKS NPA'!X7+'2026-LPK MKM NPA'!X7+'2026-LPK DKP NPA '!X7+'2026-LPK CTPS NPA'!X7+'2026-LPK CDB NPA'!X7+'2026-OS CTPS NPA'!X7+'2026-OS CDB NPA'!X7</f>
        <v>0</v>
      </c>
      <c r="Y7" s="7">
        <f>NPA!Y7+NES!Y7+'2026-PKL NPA'!Y7+'2026- Harian NES'!Y7+'2026-Harian NPA'!Y7+'2026-LPK MKS NPA'!Y7+'2026-LPK MKM NPA'!Y7+'2026-LPK DKP NPA '!Y7+'2026-LPK CTPS NPA'!Y7+'2026-LPK CDB NPA'!Y7+'2026-OS CTPS NPA'!Y7+'2026-OS CDB NPA'!Y7</f>
        <v>0</v>
      </c>
      <c r="Z7" s="11" t="e">
        <f t="shared" ref="Z7:Z22" si="10">X7/$X$24</f>
        <v>#DIV/0!</v>
      </c>
      <c r="AA7" s="11" t="e">
        <f t="shared" ref="AA7:AA22" si="11">Y7/$Y$24</f>
        <v>#DIV/0!</v>
      </c>
      <c r="AB7" s="7">
        <f>NPA!AB7+NES!AB7+'2026-PKL NPA'!AB7+'2026- Harian NES'!AB7+'2026-Harian NPA'!AB7+'2026-LPK MKS NPA'!AB7+'2026-LPK MKM NPA'!AB7+'2026-LPK DKP NPA '!AB7+'2026-LPK CTPS NPA'!AB7+'2026-LPK CDB NPA'!AB7+'2026-OS CTPS NPA'!AB7+'2026-OS CDB NPA'!AB7</f>
        <v>0</v>
      </c>
      <c r="AC7" s="7">
        <f>NPA!AC7+NES!AC7+'2026-PKL NPA'!AC7+'2026- Harian NES'!AC7+'2026-Harian NPA'!AC7+'2026-LPK MKS NPA'!AC7+'2026-LPK MKM NPA'!AC7+'2026-LPK DKP NPA '!AC7+'2026-LPK CTPS NPA'!AC7+'2026-LPK CDB NPA'!AC7+'2026-OS CTPS NPA'!AC7+'2026-OS CDB NPA'!AC7</f>
        <v>0</v>
      </c>
      <c r="AD7" s="11" t="e">
        <f t="shared" ref="AD7:AD22" si="12">AB7/$AB$24</f>
        <v>#DIV/0!</v>
      </c>
      <c r="AE7" s="11" t="e">
        <f t="shared" ref="AE7:AE22" si="13">AC7/$AC$24</f>
        <v>#DIV/0!</v>
      </c>
      <c r="AF7" s="7">
        <f>NPA!AF7+NES!AF7+'2026-PKL NPA'!AF7+'2026- Harian NES'!AF7+'2026-Harian NPA'!AF7+'2026-LPK MKS NPA'!AF7+'2026-LPK MKM NPA'!AF7+'2026-LPK DKP NPA '!AF7+'2026-LPK CTPS NPA'!AF7+'2026-LPK CDB NPA'!AF7+'2026-OS CTPS NPA'!AF7+'2026-OS CDB NPA'!AF7</f>
        <v>0</v>
      </c>
      <c r="AG7" s="7">
        <f>NPA!AG7+NES!AG7+'2026-PKL NPA'!AG7+'2026- Harian NES'!AG7+'2026-Harian NPA'!AG7+'2026-LPK MKS NPA'!AG7+'2026-LPK MKM NPA'!AG7+'2026-LPK DKP NPA '!AG7+'2026-LPK CTPS NPA'!AG7+'2026-LPK CDB NPA'!AG7+'2026-OS CTPS NPA'!AG7+'2026-OS CDB NPA'!AG7</f>
        <v>0</v>
      </c>
      <c r="AH7" s="11" t="e">
        <f t="shared" ref="AH7:AH22" si="14">AF7/$AF$24</f>
        <v>#DIV/0!</v>
      </c>
      <c r="AI7" s="11" t="e">
        <f t="shared" ref="AI7:AI22" si="15">AG7/$AG$24</f>
        <v>#DIV/0!</v>
      </c>
      <c r="AJ7" s="7">
        <f>NPA!AJ7+NES!AJ7+'2026-PKL NPA'!AJ7+'2026- Harian NES'!AJ7+'2026-Harian NPA'!AJ7+'2026-LPK MKS NPA'!AJ7+'2026-LPK MKM NPA'!AJ7+'2026-LPK DKP NPA '!AJ7+'2026-LPK CTPS NPA'!AJ7+'2026-LPK CDB NPA'!AJ7+'2026-OS CTPS NPA'!AJ7+'2026-OS CDB NPA'!AJ7</f>
        <v>0</v>
      </c>
      <c r="AK7" s="7">
        <f>NPA!AK7+NES!AK7+'2026-PKL NPA'!AK7+'2026- Harian NES'!AK7+'2026-Harian NPA'!AK7+'2026-LPK MKS NPA'!AK7+'2026-LPK MKM NPA'!AK7+'2026-LPK DKP NPA '!AK7+'2026-LPK CTPS NPA'!AK7+'2026-LPK CDB NPA'!AK7+'2026-OS CTPS NPA'!AK7+'2026-OS CDB NPA'!AK7</f>
        <v>0</v>
      </c>
      <c r="AL7" s="11" t="e">
        <f t="shared" ref="AL7:AL22" si="16">AJ7/$AJ$24</f>
        <v>#DIV/0!</v>
      </c>
      <c r="AM7" s="11" t="e">
        <f t="shared" ref="AM7:AM22" si="17">AK7/$AK$24</f>
        <v>#DIV/0!</v>
      </c>
      <c r="AN7" s="7">
        <f>NPA!AN7+NES!AN7+'2026-PKL NPA'!AN7+'2026- Harian NES'!AN7+'2026-Harian NPA'!AN7+'2026-LPK MKS NPA'!AN7+'2026-LPK MKM NPA'!AN7+'2026-LPK DKP NPA '!AN7+'2026-LPK CTPS NPA'!AN7+'2026-LPK CDB NPA'!AN7+'2026-OS CTPS NPA'!AN7+'2026-OS CDB NPA'!AN7</f>
        <v>0</v>
      </c>
      <c r="AO7" s="7">
        <f>NPA!AO7+NES!AO7+'2026-PKL NPA'!AO7+'2026- Harian NES'!AO7+'2026-Harian NPA'!AO7+'2026-LPK MKS NPA'!AO7+'2026-LPK MKM NPA'!AO7+'2026-LPK DKP NPA '!AO7+'2026-LPK CTPS NPA'!AO7+'2026-LPK CDB NPA'!AO7+'2026-OS CTPS NPA'!AO7+'2026-OS CDB NPA'!AO7</f>
        <v>0</v>
      </c>
      <c r="AP7" s="11" t="e">
        <f t="shared" ref="AP7:AP22" si="18">AN7/$AN$24</f>
        <v>#DIV/0!</v>
      </c>
      <c r="AQ7" s="11" t="e">
        <f t="shared" ref="AQ7:AQ22" si="19">AO7/$AO$24</f>
        <v>#DIV/0!</v>
      </c>
      <c r="AR7" s="7">
        <f>NPA!AR7+NES!AR7+'2026-PKL NPA'!AR7+'2026- Harian NES'!AR7+'2026-Harian NPA'!AR7+'2026-LPK MKS NPA'!AR7+'2026-LPK MKM NPA'!AR7+'2026-LPK DKP NPA '!AR7+'2026-LPK CTPS NPA'!AR7+'2026-LPK CDB NPA'!AR7+'2026-OS CTPS NPA'!AR7+'2026-OS CDB NPA'!AR7</f>
        <v>0</v>
      </c>
      <c r="AS7" s="7">
        <f>NPA!AS7+NES!AS7+'2026-PKL NPA'!AS7+'2026- Harian NES'!AS7+'2026-Harian NPA'!AS7+'2026-LPK MKS NPA'!AS7+'2026-LPK MKM NPA'!AS7+'2026-LPK DKP NPA '!AS7+'2026-LPK CTPS NPA'!AS7+'2026-LPK CDB NPA'!AS7+'2026-OS CTPS NPA'!AS7+'2026-OS CDB NPA'!AS7</f>
        <v>0</v>
      </c>
      <c r="AT7" s="11" t="e">
        <f t="shared" ref="AT7:AT22" si="20">AR7/$AR$24</f>
        <v>#DIV/0!</v>
      </c>
      <c r="AU7" s="11" t="e">
        <f t="shared" ref="AU7:AU22" si="21">AS7/$AS$24</f>
        <v>#DIV/0!</v>
      </c>
      <c r="AV7" s="7">
        <f>NPA!AV7+NES!AV7+'2026-PKL NPA'!AV7+'2026- Harian NES'!AV7+'2026-Harian NPA'!AV7+'2026-LPK MKS NPA'!AV7+'2026-LPK MKM NPA'!AV7+'2026-LPK DKP NPA '!AV7+'2026-LPK CTPS NPA'!AV7+'2026-LPK CDB NPA'!AV7+'2026-OS CTPS NPA'!AV7+'2026-OS CDB NPA'!AV7</f>
        <v>0</v>
      </c>
      <c r="AW7" s="7">
        <f>NPA!AW7+NES!AW7+'2026-PKL NPA'!AW7+'2026- Harian NES'!AW7+'2026-Harian NPA'!AW7+'2026-LPK MKS NPA'!AW7+'2026-LPK MKM NPA'!AW7+'2026-LPK DKP NPA '!AW7+'2026-LPK CTPS NPA'!AW7+'2026-LPK CDB NPA'!AW7+'2026-OS CTPS NPA'!AW7+'2026-OS CDB NPA'!AW7</f>
        <v>0</v>
      </c>
      <c r="AX7" s="11" t="e">
        <f t="shared" ref="AX7:AX22" si="22">AV7/$AJ$24</f>
        <v>#DIV/0!</v>
      </c>
      <c r="AY7" s="11" t="e">
        <f t="shared" ref="AY7:AY22" si="23">AW7/$AK$24</f>
        <v>#DIV/0!</v>
      </c>
      <c r="AZ7" s="19">
        <f>E7+I7+M7+Q7+U7+Y7+AC7+AG7+AK7+AO7+AS7+AW7</f>
        <v>254798438</v>
      </c>
      <c r="BA7" s="11" t="e">
        <f>AVERAGE(F7,J7,N7,R7,V7,Z7,AD7,AH7,AL7,AP7,AT7,AX7)</f>
        <v>#DIV/0!</v>
      </c>
      <c r="BB7" s="11" t="e">
        <f t="shared" ref="BB7:BB22" si="24">AVERAGE(G7,K7,O7,S7,W7,AA7,AE7,AI7,AM7,AQ7,AU7,AY7)</f>
        <v>#DIV/0!</v>
      </c>
      <c r="BC7" s="63">
        <f>E7+I7+M7</f>
        <v>254798438</v>
      </c>
      <c r="BD7" s="63">
        <f t="shared" ref="BD7:BD22" si="25">Q7+U7+Y7</f>
        <v>0</v>
      </c>
      <c r="BE7" s="63">
        <f>AC7+AG7+AK7</f>
        <v>0</v>
      </c>
      <c r="BF7" s="63">
        <f>AO7+AS7+AW7</f>
        <v>0</v>
      </c>
    </row>
    <row r="8" spans="2:58" x14ac:dyDescent="0.35">
      <c r="B8" s="3">
        <f>B7+1</f>
        <v>2</v>
      </c>
      <c r="C8" s="3" t="s">
        <v>17</v>
      </c>
      <c r="D8" s="7">
        <f>NPA!D8+NES!D8+'2026-PKL NPA'!D8+'2026- Harian NES'!D8+'2026-Harian NPA'!D8+'2026-LPK MKS NPA'!D8+'2026-LPK MKM NPA'!D8+'2026-LPK DKP NPA '!D8+'2026-LPK CTPS NPA'!D8+'2026-LPK CDB NPA'!D8+'2026-OS CTPS NPA'!D8+'2026-OS CDB NPA'!D8</f>
        <v>10</v>
      </c>
      <c r="E8" s="7">
        <f>NPA!E8+NES!E8+'2026-PKL NPA'!E8+'2026- Harian NES'!E8+'2026-Harian NPA'!E8+'2026-LPK MKS NPA'!E8+'2026-LPK MKM NPA'!E8+'2026-LPK DKP NPA '!E8+'2026-LPK CTPS NPA'!E8+'2026-LPK CDB NPA'!E8+'2026-OS CTPS NPA'!E8+'2026-OS CDB NPA'!E8</f>
        <v>124852645</v>
      </c>
      <c r="F8" s="11">
        <f t="shared" si="0"/>
        <v>3.0769230769230771E-2</v>
      </c>
      <c r="G8" s="11">
        <f t="shared" si="1"/>
        <v>4.9987626993178165E-2</v>
      </c>
      <c r="H8" s="7">
        <f>NPA!H8+NES!H8+'2026-PKL NPA'!H8+'2026- Harian NES'!H8+'2026-Harian NPA'!H8+'2026-LPK MKS NPA'!H8+'2026-LPK MKM NPA'!H8+'2026-LPK DKP NPA '!H8+'2026-LPK CTPS NPA'!H8+'2026-LPK CDB NPA'!H8+'2026-OS CTPS NPA'!H8+'2026-OS CDB NPA'!H8</f>
        <v>10</v>
      </c>
      <c r="I8" s="7">
        <f>NPA!I8+NES!I8+'2026-PKL NPA'!I8+'2026- Harian NES'!I8+'2026-Harian NPA'!I8+'2026-LPK MKS NPA'!I8+'2026-LPK MKM NPA'!I8+'2026-LPK DKP NPA '!I8+'2026-LPK CTPS NPA'!I8+'2026-LPK CDB NPA'!I8+'2026-OS CTPS NPA'!I8+'2026-OS CDB NPA'!I8</f>
        <v>115094497</v>
      </c>
      <c r="J8" s="11">
        <f t="shared" si="2"/>
        <v>3.215434083601286E-2</v>
      </c>
      <c r="K8" s="11">
        <f t="shared" si="3"/>
        <v>4.9437768172687926E-2</v>
      </c>
      <c r="L8" s="7">
        <f>NPA!L8+NES!L8+'2026-PKL NPA'!L8+'2026- Harian NES'!L8+'2026-Harian NPA'!L8+'2026-LPK MKS NPA'!L8+'2026-LPK MKM NPA'!L8+'2026-LPK DKP NPA '!L8+'2026-LPK CTPS NPA'!L8+'2026-LPK CDB NPA'!L8+'2026-OS CTPS NPA'!L8+'2026-OS CDB NPA'!L8</f>
        <v>10</v>
      </c>
      <c r="M8" s="7">
        <f>NPA!M8+NES!M8+'2026-PKL NPA'!M8+'2026- Harian NES'!M8+'2026-Harian NPA'!M8+'2026-LPK MKS NPA'!M8+'2026-LPK MKM NPA'!M8+'2026-LPK DKP NPA '!M8+'2026-LPK CTPS NPA'!M8+'2026-LPK CDB NPA'!M8+'2026-OS CTPS NPA'!M8+'2026-OS CDB NPA'!M8</f>
        <v>110226902</v>
      </c>
      <c r="N8" s="11">
        <f t="shared" si="4"/>
        <v>3.215434083601286E-2</v>
      </c>
      <c r="O8" s="11">
        <f t="shared" si="5"/>
        <v>5.0825568624597875E-2</v>
      </c>
      <c r="P8" s="7">
        <f>NPA!P8+NES!P8+'2026-PKL NPA'!P8+'2026- Harian NES'!P8+'2026-Harian NPA'!P8+'2026-LPK MKS NPA'!P8+'2026-LPK MKM NPA'!P8+'2026-LPK DKP NPA '!P8+'2026-LPK CTPS NPA'!P8+'2026-LPK CDB NPA'!P8+'2026-OS CTPS NPA'!P8+'2026-OS CDB NPA'!P8</f>
        <v>0</v>
      </c>
      <c r="Q8" s="7">
        <f>NPA!Q8+NES!Q8+'2026-PKL NPA'!Q8+'2026- Harian NES'!Q8+'2026-Harian NPA'!Q8+'2026-LPK MKS NPA'!Q8+'2026-LPK MKM NPA'!Q8+'2026-LPK DKP NPA '!Q8+'2026-LPK CTPS NPA'!Q8+'2026-LPK CDB NPA'!Q8+'2026-OS CTPS NPA'!Q8+'2026-OS CDB NPA'!Q8</f>
        <v>0</v>
      </c>
      <c r="R8" s="11" t="e">
        <f t="shared" si="6"/>
        <v>#DIV/0!</v>
      </c>
      <c r="S8" s="11" t="e">
        <f t="shared" si="7"/>
        <v>#DIV/0!</v>
      </c>
      <c r="T8" s="7">
        <f>NPA!T8+NES!T8+'2026-PKL NPA'!T8+'2026- Harian NES'!T8+'2026-Harian NPA'!T8+'2026-LPK MKS NPA'!T8+'2026-LPK MKM NPA'!T8+'2026-LPK DKP NPA '!T8+'2026-LPK CTPS NPA'!T8+'2026-LPK CDB NPA'!T8+'2026-OS CTPS NPA'!T8+'2026-OS CDB NPA'!T8</f>
        <v>0</v>
      </c>
      <c r="U8" s="7">
        <f>NPA!U8+NES!U8+'2026-PKL NPA'!U8+'2026- Harian NES'!U8+'2026-Harian NPA'!U8+'2026-LPK MKS NPA'!U8+'2026-LPK MKM NPA'!U8+'2026-LPK DKP NPA '!U8+'2026-LPK CTPS NPA'!U8+'2026-LPK CDB NPA'!U8+'2026-OS CTPS NPA'!U8+'2026-OS CDB NPA'!U8</f>
        <v>0</v>
      </c>
      <c r="V8" s="11" t="e">
        <f t="shared" si="8"/>
        <v>#DIV/0!</v>
      </c>
      <c r="W8" s="11" t="e">
        <f t="shared" si="9"/>
        <v>#DIV/0!</v>
      </c>
      <c r="X8" s="7">
        <f>NPA!X8+NES!X8+'2026-PKL NPA'!X8+'2026- Harian NES'!X8+'2026-Harian NPA'!X8+'2026-LPK MKS NPA'!X8+'2026-LPK MKM NPA'!X8+'2026-LPK DKP NPA '!X8+'2026-LPK CTPS NPA'!X8+'2026-LPK CDB NPA'!X8+'2026-OS CTPS NPA'!X8+'2026-OS CDB NPA'!X8</f>
        <v>0</v>
      </c>
      <c r="Y8" s="7">
        <f>NPA!Y8+NES!Y8+'2026-PKL NPA'!Y8+'2026- Harian NES'!Y8+'2026-Harian NPA'!Y8+'2026-LPK MKS NPA'!Y8+'2026-LPK MKM NPA'!Y8+'2026-LPK DKP NPA '!Y8+'2026-LPK CTPS NPA'!Y8+'2026-LPK CDB NPA'!Y8+'2026-OS CTPS NPA'!Y8+'2026-OS CDB NPA'!Y8</f>
        <v>0</v>
      </c>
      <c r="Z8" s="11" t="e">
        <f t="shared" si="10"/>
        <v>#DIV/0!</v>
      </c>
      <c r="AA8" s="11" t="e">
        <f t="shared" si="11"/>
        <v>#DIV/0!</v>
      </c>
      <c r="AB8" s="7">
        <f>NPA!AB8+NES!AB8+'2026-PKL NPA'!AB8+'2026- Harian NES'!AB8+'2026-Harian NPA'!AB8+'2026-LPK MKS NPA'!AB8+'2026-LPK MKM NPA'!AB8+'2026-LPK DKP NPA '!AB8+'2026-LPK CTPS NPA'!AB8+'2026-LPK CDB NPA'!AB8+'2026-OS CTPS NPA'!AB8+'2026-OS CDB NPA'!AB8</f>
        <v>0</v>
      </c>
      <c r="AC8" s="7">
        <f>NPA!AC8+NES!AC8+'2026-PKL NPA'!AC8+'2026- Harian NES'!AC8+'2026-Harian NPA'!AC8+'2026-LPK MKS NPA'!AC8+'2026-LPK MKM NPA'!AC8+'2026-LPK DKP NPA '!AC8+'2026-LPK CTPS NPA'!AC8+'2026-LPK CDB NPA'!AC8+'2026-OS CTPS NPA'!AC8+'2026-OS CDB NPA'!AC8</f>
        <v>0</v>
      </c>
      <c r="AD8" s="11" t="e">
        <f t="shared" si="12"/>
        <v>#DIV/0!</v>
      </c>
      <c r="AE8" s="11" t="e">
        <f t="shared" si="13"/>
        <v>#DIV/0!</v>
      </c>
      <c r="AF8" s="7">
        <f>NPA!AF8+NES!AF8+'2026-PKL NPA'!AF8+'2026- Harian NES'!AF8+'2026-Harian NPA'!AF8+'2026-LPK MKS NPA'!AF8+'2026-LPK MKM NPA'!AF8+'2026-LPK DKP NPA '!AF8+'2026-LPK CTPS NPA'!AF8+'2026-LPK CDB NPA'!AF8+'2026-OS CTPS NPA'!AF8+'2026-OS CDB NPA'!AF8</f>
        <v>0</v>
      </c>
      <c r="AG8" s="7">
        <f>NPA!AG8+NES!AG8+'2026-PKL NPA'!AG8+'2026- Harian NES'!AG8+'2026-Harian NPA'!AG8+'2026-LPK MKS NPA'!AG8+'2026-LPK MKM NPA'!AG8+'2026-LPK DKP NPA '!AG8+'2026-LPK CTPS NPA'!AG8+'2026-LPK CDB NPA'!AG8+'2026-OS CTPS NPA'!AG8+'2026-OS CDB NPA'!AG8</f>
        <v>0</v>
      </c>
      <c r="AH8" s="11" t="e">
        <f t="shared" si="14"/>
        <v>#DIV/0!</v>
      </c>
      <c r="AI8" s="11" t="e">
        <f t="shared" si="15"/>
        <v>#DIV/0!</v>
      </c>
      <c r="AJ8" s="7">
        <f>NPA!AJ8+NES!AJ8+'2026-PKL NPA'!AJ8+'2026- Harian NES'!AJ8+'2026-Harian NPA'!AJ8+'2026-LPK MKS NPA'!AJ8+'2026-LPK MKM NPA'!AJ8+'2026-LPK DKP NPA '!AJ8+'2026-LPK CTPS NPA'!AJ8+'2026-LPK CDB NPA'!AJ8+'2026-OS CTPS NPA'!AJ8+'2026-OS CDB NPA'!AJ8</f>
        <v>0</v>
      </c>
      <c r="AK8" s="7">
        <f>NPA!AK8+NES!AK8+'2026-PKL NPA'!AK8+'2026- Harian NES'!AK8+'2026-Harian NPA'!AK8+'2026-LPK MKS NPA'!AK8+'2026-LPK MKM NPA'!AK8+'2026-LPK DKP NPA '!AK8+'2026-LPK CTPS NPA'!AK8+'2026-LPK CDB NPA'!AK8+'2026-OS CTPS NPA'!AK8+'2026-OS CDB NPA'!AK8</f>
        <v>0</v>
      </c>
      <c r="AL8" s="11" t="e">
        <f t="shared" si="16"/>
        <v>#DIV/0!</v>
      </c>
      <c r="AM8" s="11" t="e">
        <f t="shared" si="17"/>
        <v>#DIV/0!</v>
      </c>
      <c r="AN8" s="7">
        <f>NPA!AN8+NES!AN8+'2026-PKL NPA'!AN8+'2026- Harian NES'!AN8+'2026-Harian NPA'!AN8+'2026-LPK MKS NPA'!AN8+'2026-LPK MKM NPA'!AN8+'2026-LPK DKP NPA '!AN8+'2026-LPK CTPS NPA'!AN8+'2026-LPK CDB NPA'!AN8+'2026-OS CTPS NPA'!AN8+'2026-OS CDB NPA'!AN8</f>
        <v>0</v>
      </c>
      <c r="AO8" s="7">
        <f>NPA!AO8+NES!AO8+'2026-PKL NPA'!AO8+'2026- Harian NES'!AO8+'2026-Harian NPA'!AO8+'2026-LPK MKS NPA'!AO8+'2026-LPK MKM NPA'!AO8+'2026-LPK DKP NPA '!AO8+'2026-LPK CTPS NPA'!AO8+'2026-LPK CDB NPA'!AO8+'2026-OS CTPS NPA'!AO8+'2026-OS CDB NPA'!AO8</f>
        <v>0</v>
      </c>
      <c r="AP8" s="11" t="e">
        <f t="shared" si="18"/>
        <v>#DIV/0!</v>
      </c>
      <c r="AQ8" s="11" t="e">
        <f t="shared" si="19"/>
        <v>#DIV/0!</v>
      </c>
      <c r="AR8" s="7">
        <f>NPA!AR8+NES!AR8+'2026-PKL NPA'!AR8+'2026- Harian NES'!AR8+'2026-Harian NPA'!AR8+'2026-LPK MKS NPA'!AR8+'2026-LPK MKM NPA'!AR8+'2026-LPK DKP NPA '!AR8+'2026-LPK CTPS NPA'!AR8+'2026-LPK CDB NPA'!AR8+'2026-OS CTPS NPA'!AR8+'2026-OS CDB NPA'!AR8</f>
        <v>0</v>
      </c>
      <c r="AS8" s="7">
        <f>NPA!AS8+NES!AS8+'2026-PKL NPA'!AS8+'2026- Harian NES'!AS8+'2026-Harian NPA'!AS8+'2026-LPK MKS NPA'!AS8+'2026-LPK MKM NPA'!AS8+'2026-LPK DKP NPA '!AS8+'2026-LPK CTPS NPA'!AS8+'2026-LPK CDB NPA'!AS8+'2026-OS CTPS NPA'!AS8+'2026-OS CDB NPA'!AS8</f>
        <v>0</v>
      </c>
      <c r="AT8" s="11" t="e">
        <f t="shared" si="20"/>
        <v>#DIV/0!</v>
      </c>
      <c r="AU8" s="11" t="e">
        <f t="shared" si="21"/>
        <v>#DIV/0!</v>
      </c>
      <c r="AV8" s="7">
        <f>NPA!AV8+NES!AV8+'2026-PKL NPA'!AV8+'2026- Harian NES'!AV8+'2026-Harian NPA'!AV8+'2026-LPK MKS NPA'!AV8+'2026-LPK MKM NPA'!AV8+'2026-LPK DKP NPA '!AV8+'2026-LPK CTPS NPA'!AV8+'2026-LPK CDB NPA'!AV8+'2026-OS CTPS NPA'!AV8+'2026-OS CDB NPA'!AV8</f>
        <v>0</v>
      </c>
      <c r="AW8" s="7">
        <f>NPA!AW8+NES!AW8+'2026-PKL NPA'!AW8+'2026- Harian NES'!AW8+'2026-Harian NPA'!AW8+'2026-LPK MKS NPA'!AW8+'2026-LPK MKM NPA'!AW8+'2026-LPK DKP NPA '!AW8+'2026-LPK CTPS NPA'!AW8+'2026-LPK CDB NPA'!AW8+'2026-OS CTPS NPA'!AW8+'2026-OS CDB NPA'!AW8</f>
        <v>0</v>
      </c>
      <c r="AX8" s="11" t="e">
        <f t="shared" si="22"/>
        <v>#DIV/0!</v>
      </c>
      <c r="AY8" s="11" t="e">
        <f t="shared" si="23"/>
        <v>#DIV/0!</v>
      </c>
      <c r="AZ8" s="19">
        <f t="shared" ref="AZ8:AZ12" si="26">E8+I8+M8+Q8+U8+Y8+AC8+AG8+AK8+AO8+AS8+AW8</f>
        <v>350174044</v>
      </c>
      <c r="BA8" s="11" t="e">
        <f t="shared" ref="BA8:BA22" si="27">AVERAGE(F8,J8,N8,R8,V8,Z8,AD8,AH8,AL8,AP8,AT8,AX8)</f>
        <v>#DIV/0!</v>
      </c>
      <c r="BB8" s="11" t="e">
        <f t="shared" si="24"/>
        <v>#DIV/0!</v>
      </c>
      <c r="BC8" s="63">
        <f t="shared" ref="BC8:BC22" si="28">E8+I8+M8</f>
        <v>350174044</v>
      </c>
      <c r="BD8" s="63">
        <f t="shared" si="25"/>
        <v>0</v>
      </c>
      <c r="BE8" s="63">
        <f t="shared" ref="BE8:BE22" si="29">AC8+AG8+AK8</f>
        <v>0</v>
      </c>
      <c r="BF8" s="63">
        <f t="shared" ref="BF8:BF22" si="30">AO8+AS8+AW8</f>
        <v>0</v>
      </c>
    </row>
    <row r="9" spans="2:58" x14ac:dyDescent="0.35">
      <c r="B9" s="3">
        <f t="shared" ref="B9:B22" si="31">B8+1</f>
        <v>3</v>
      </c>
      <c r="C9" s="3" t="s">
        <v>18</v>
      </c>
      <c r="D9" s="7">
        <f>NPA!D9+NES!D9+'2026-PKL NPA'!D9+'2026- Harian NES'!D9+'2026-Harian NPA'!D9+'2026-LPK MKS NPA'!D9+'2026-LPK MKM NPA'!D9+'2026-LPK DKP NPA '!D9+'2026-LPK CTPS NPA'!D9+'2026-LPK CDB NPA'!D9+'2026-OS CTPS NPA'!D9+'2026-OS CDB NPA'!D9</f>
        <v>9</v>
      </c>
      <c r="E9" s="7">
        <f>NPA!E9+NES!E9+'2026-PKL NPA'!E9+'2026- Harian NES'!E9+'2026-Harian NPA'!E9+'2026-LPK MKS NPA'!E9+'2026-LPK MKM NPA'!E9+'2026-LPK DKP NPA '!E9+'2026-LPK CTPS NPA'!E9+'2026-LPK CDB NPA'!E9+'2026-OS CTPS NPA'!E9+'2026-OS CDB NPA'!E9</f>
        <v>146715650</v>
      </c>
      <c r="F9" s="11">
        <f t="shared" si="0"/>
        <v>2.7692307692307693E-2</v>
      </c>
      <c r="G9" s="11">
        <f t="shared" si="1"/>
        <v>5.8740983711331705E-2</v>
      </c>
      <c r="H9" s="7">
        <f>NPA!H9+NES!H9+'2026-PKL NPA'!H9+'2026- Harian NES'!H9+'2026-Harian NPA'!H9+'2026-LPK MKS NPA'!H9+'2026-LPK MKM NPA'!H9+'2026-LPK DKP NPA '!H9+'2026-LPK CTPS NPA'!H9+'2026-LPK CDB NPA'!H9+'2026-OS CTPS NPA'!H9+'2026-OS CDB NPA'!H9</f>
        <v>9</v>
      </c>
      <c r="I9" s="7">
        <f>NPA!I9+NES!I9+'2026-PKL NPA'!I9+'2026- Harian NES'!I9+'2026-Harian NPA'!I9+'2026-LPK MKS NPA'!I9+'2026-LPK MKM NPA'!I9+'2026-LPK DKP NPA '!I9+'2026-LPK CTPS NPA'!I9+'2026-LPK CDB NPA'!I9+'2026-OS CTPS NPA'!I9+'2026-OS CDB NPA'!I9</f>
        <v>132343337</v>
      </c>
      <c r="J9" s="11">
        <f t="shared" si="2"/>
        <v>2.8938906752411574E-2</v>
      </c>
      <c r="K9" s="11">
        <f t="shared" si="3"/>
        <v>5.6846846585600984E-2</v>
      </c>
      <c r="L9" s="7">
        <f>NPA!L9+NES!L9+'2026-PKL NPA'!L9+'2026- Harian NES'!L9+'2026-Harian NPA'!L9+'2026-LPK MKS NPA'!L9+'2026-LPK MKM NPA'!L9+'2026-LPK DKP NPA '!L9+'2026-LPK CTPS NPA'!L9+'2026-LPK CDB NPA'!L9+'2026-OS CTPS NPA'!L9+'2026-OS CDB NPA'!L9</f>
        <v>9</v>
      </c>
      <c r="M9" s="7">
        <f>NPA!M9+NES!M9+'2026-PKL NPA'!M9+'2026- Harian NES'!M9+'2026-Harian NPA'!M9+'2026-LPK MKS NPA'!M9+'2026-LPK MKM NPA'!M9+'2026-LPK DKP NPA '!M9+'2026-LPK CTPS NPA'!M9+'2026-LPK CDB NPA'!M9+'2026-OS CTPS NPA'!M9+'2026-OS CDB NPA'!M9</f>
        <v>130048727</v>
      </c>
      <c r="N9" s="11">
        <f t="shared" si="4"/>
        <v>2.8938906752411574E-2</v>
      </c>
      <c r="O9" s="11">
        <f t="shared" si="5"/>
        <v>5.9965402081971736E-2</v>
      </c>
      <c r="P9" s="7">
        <f>NPA!P9+NES!P9+'2026-PKL NPA'!P9+'2026- Harian NES'!P9+'2026-Harian NPA'!P9+'2026-LPK MKS NPA'!P9+'2026-LPK MKM NPA'!P9+'2026-LPK DKP NPA '!P9+'2026-LPK CTPS NPA'!P9+'2026-LPK CDB NPA'!P9+'2026-OS CTPS NPA'!P9+'2026-OS CDB NPA'!P9</f>
        <v>0</v>
      </c>
      <c r="Q9" s="7">
        <f>NPA!Q9+NES!Q9+'2026-PKL NPA'!Q9+'2026- Harian NES'!Q9+'2026-Harian NPA'!Q9+'2026-LPK MKS NPA'!Q9+'2026-LPK MKM NPA'!Q9+'2026-LPK DKP NPA '!Q9+'2026-LPK CTPS NPA'!Q9+'2026-LPK CDB NPA'!Q9+'2026-OS CTPS NPA'!Q9+'2026-OS CDB NPA'!Q9</f>
        <v>0</v>
      </c>
      <c r="R9" s="11" t="e">
        <f t="shared" si="6"/>
        <v>#DIV/0!</v>
      </c>
      <c r="S9" s="11" t="e">
        <f t="shared" si="7"/>
        <v>#DIV/0!</v>
      </c>
      <c r="T9" s="7">
        <f>NPA!T9+NES!T9+'2026-PKL NPA'!T9+'2026- Harian NES'!T9+'2026-Harian NPA'!T9+'2026-LPK MKS NPA'!T9+'2026-LPK MKM NPA'!T9+'2026-LPK DKP NPA '!T9+'2026-LPK CTPS NPA'!T9+'2026-LPK CDB NPA'!T9+'2026-OS CTPS NPA'!T9+'2026-OS CDB NPA'!T9</f>
        <v>0</v>
      </c>
      <c r="U9" s="7">
        <f>NPA!U9+NES!U9+'2026-PKL NPA'!U9+'2026- Harian NES'!U9+'2026-Harian NPA'!U9+'2026-LPK MKS NPA'!U9+'2026-LPK MKM NPA'!U9+'2026-LPK DKP NPA '!U9+'2026-LPK CTPS NPA'!U9+'2026-LPK CDB NPA'!U9+'2026-OS CTPS NPA'!U9+'2026-OS CDB NPA'!U9</f>
        <v>0</v>
      </c>
      <c r="V9" s="11" t="e">
        <f t="shared" si="8"/>
        <v>#DIV/0!</v>
      </c>
      <c r="W9" s="11" t="e">
        <f t="shared" si="9"/>
        <v>#DIV/0!</v>
      </c>
      <c r="X9" s="7">
        <f>NPA!X9+NES!X9+'2026-PKL NPA'!X9+'2026- Harian NES'!X9+'2026-Harian NPA'!X9+'2026-LPK MKS NPA'!X9+'2026-LPK MKM NPA'!X9+'2026-LPK DKP NPA '!X9+'2026-LPK CTPS NPA'!X9+'2026-LPK CDB NPA'!X9+'2026-OS CTPS NPA'!X9+'2026-OS CDB NPA'!X9</f>
        <v>0</v>
      </c>
      <c r="Y9" s="7">
        <f>NPA!Y9+NES!Y9+'2026-PKL NPA'!Y9+'2026- Harian NES'!Y9+'2026-Harian NPA'!Y9+'2026-LPK MKS NPA'!Y9+'2026-LPK MKM NPA'!Y9+'2026-LPK DKP NPA '!Y9+'2026-LPK CTPS NPA'!Y9+'2026-LPK CDB NPA'!Y9+'2026-OS CTPS NPA'!Y9+'2026-OS CDB NPA'!Y9</f>
        <v>0</v>
      </c>
      <c r="Z9" s="11" t="e">
        <f t="shared" si="10"/>
        <v>#DIV/0!</v>
      </c>
      <c r="AA9" s="11" t="e">
        <f t="shared" si="11"/>
        <v>#DIV/0!</v>
      </c>
      <c r="AB9" s="7">
        <f>NPA!AB9+NES!AB9+'2026-PKL NPA'!AB9+'2026- Harian NES'!AB9+'2026-Harian NPA'!AB9+'2026-LPK MKS NPA'!AB9+'2026-LPK MKM NPA'!AB9+'2026-LPK DKP NPA '!AB9+'2026-LPK CTPS NPA'!AB9+'2026-LPK CDB NPA'!AB9+'2026-OS CTPS NPA'!AB9+'2026-OS CDB NPA'!AB9</f>
        <v>0</v>
      </c>
      <c r="AC9" s="7">
        <f>NPA!AC9+NES!AC9+'2026-PKL NPA'!AC9+'2026- Harian NES'!AC9+'2026-Harian NPA'!AC9+'2026-LPK MKS NPA'!AC9+'2026-LPK MKM NPA'!AC9+'2026-LPK DKP NPA '!AC9+'2026-LPK CTPS NPA'!AC9+'2026-LPK CDB NPA'!AC9+'2026-OS CTPS NPA'!AC9+'2026-OS CDB NPA'!AC9</f>
        <v>0</v>
      </c>
      <c r="AD9" s="11" t="e">
        <f t="shared" si="12"/>
        <v>#DIV/0!</v>
      </c>
      <c r="AE9" s="11" t="e">
        <f t="shared" si="13"/>
        <v>#DIV/0!</v>
      </c>
      <c r="AF9" s="7">
        <f>NPA!AF9+NES!AF9+'2026-PKL NPA'!AF9+'2026- Harian NES'!AF9+'2026-Harian NPA'!AF9+'2026-LPK MKS NPA'!AF9+'2026-LPK MKM NPA'!AF9+'2026-LPK DKP NPA '!AF9+'2026-LPK CTPS NPA'!AF9+'2026-LPK CDB NPA'!AF9+'2026-OS CTPS NPA'!AF9+'2026-OS CDB NPA'!AF9</f>
        <v>0</v>
      </c>
      <c r="AG9" s="7">
        <f>NPA!AG9+NES!AG9+'2026-PKL NPA'!AG9+'2026- Harian NES'!AG9+'2026-Harian NPA'!AG9+'2026-LPK MKS NPA'!AG9+'2026-LPK MKM NPA'!AG9+'2026-LPK DKP NPA '!AG9+'2026-LPK CTPS NPA'!AG9+'2026-LPK CDB NPA'!AG9+'2026-OS CTPS NPA'!AG9+'2026-OS CDB NPA'!AG9</f>
        <v>0</v>
      </c>
      <c r="AH9" s="11" t="e">
        <f t="shared" si="14"/>
        <v>#DIV/0!</v>
      </c>
      <c r="AI9" s="11" t="e">
        <f t="shared" si="15"/>
        <v>#DIV/0!</v>
      </c>
      <c r="AJ9" s="7">
        <f>NPA!AJ9+NES!AJ9+'2026-PKL NPA'!AJ9+'2026- Harian NES'!AJ9+'2026-Harian NPA'!AJ9+'2026-LPK MKS NPA'!AJ9+'2026-LPK MKM NPA'!AJ9+'2026-LPK DKP NPA '!AJ9+'2026-LPK CTPS NPA'!AJ9+'2026-LPK CDB NPA'!AJ9+'2026-OS CTPS NPA'!AJ9+'2026-OS CDB NPA'!AJ9</f>
        <v>0</v>
      </c>
      <c r="AK9" s="7">
        <f>NPA!AK9+NES!AK9+'2026-PKL NPA'!AK9+'2026- Harian NES'!AK9+'2026-Harian NPA'!AK9+'2026-LPK MKS NPA'!AK9+'2026-LPK MKM NPA'!AK9+'2026-LPK DKP NPA '!AK9+'2026-LPK CTPS NPA'!AK9+'2026-LPK CDB NPA'!AK9+'2026-OS CTPS NPA'!AK9+'2026-OS CDB NPA'!AK9</f>
        <v>0</v>
      </c>
      <c r="AL9" s="11" t="e">
        <f t="shared" si="16"/>
        <v>#DIV/0!</v>
      </c>
      <c r="AM9" s="11" t="e">
        <f t="shared" si="17"/>
        <v>#DIV/0!</v>
      </c>
      <c r="AN9" s="7">
        <f>NPA!AN9+NES!AN9+'2026-PKL NPA'!AN9+'2026- Harian NES'!AN9+'2026-Harian NPA'!AN9+'2026-LPK MKS NPA'!AN9+'2026-LPK MKM NPA'!AN9+'2026-LPK DKP NPA '!AN9+'2026-LPK CTPS NPA'!AN9+'2026-LPK CDB NPA'!AN9+'2026-OS CTPS NPA'!AN9+'2026-OS CDB NPA'!AN9</f>
        <v>0</v>
      </c>
      <c r="AO9" s="7">
        <f>NPA!AO9+NES!AO9+'2026-PKL NPA'!AO9+'2026- Harian NES'!AO9+'2026-Harian NPA'!AO9+'2026-LPK MKS NPA'!AO9+'2026-LPK MKM NPA'!AO9+'2026-LPK DKP NPA '!AO9+'2026-LPK CTPS NPA'!AO9+'2026-LPK CDB NPA'!AO9+'2026-OS CTPS NPA'!AO9+'2026-OS CDB NPA'!AO9</f>
        <v>0</v>
      </c>
      <c r="AP9" s="11" t="e">
        <f t="shared" si="18"/>
        <v>#DIV/0!</v>
      </c>
      <c r="AQ9" s="11" t="e">
        <f t="shared" si="19"/>
        <v>#DIV/0!</v>
      </c>
      <c r="AR9" s="7">
        <f>NPA!AR9+NES!AR9+'2026-PKL NPA'!AR9+'2026- Harian NES'!AR9+'2026-Harian NPA'!AR9+'2026-LPK MKS NPA'!AR9+'2026-LPK MKM NPA'!AR9+'2026-LPK DKP NPA '!AR9+'2026-LPK CTPS NPA'!AR9+'2026-LPK CDB NPA'!AR9+'2026-OS CTPS NPA'!AR9+'2026-OS CDB NPA'!AR9</f>
        <v>0</v>
      </c>
      <c r="AS9" s="7">
        <f>NPA!AS9+NES!AS9+'2026-PKL NPA'!AS9+'2026- Harian NES'!AS9+'2026-Harian NPA'!AS9+'2026-LPK MKS NPA'!AS9+'2026-LPK MKM NPA'!AS9+'2026-LPK DKP NPA '!AS9+'2026-LPK CTPS NPA'!AS9+'2026-LPK CDB NPA'!AS9+'2026-OS CTPS NPA'!AS9+'2026-OS CDB NPA'!AS9</f>
        <v>0</v>
      </c>
      <c r="AT9" s="11" t="e">
        <f t="shared" si="20"/>
        <v>#DIV/0!</v>
      </c>
      <c r="AU9" s="11" t="e">
        <f t="shared" si="21"/>
        <v>#DIV/0!</v>
      </c>
      <c r="AV9" s="7">
        <f>NPA!AV9+NES!AV9+'2026-PKL NPA'!AV9+'2026- Harian NES'!AV9+'2026-Harian NPA'!AV9+'2026-LPK MKS NPA'!AV9+'2026-LPK MKM NPA'!AV9+'2026-LPK DKP NPA '!AV9+'2026-LPK CTPS NPA'!AV9+'2026-LPK CDB NPA'!AV9+'2026-OS CTPS NPA'!AV9+'2026-OS CDB NPA'!AV9</f>
        <v>0</v>
      </c>
      <c r="AW9" s="7">
        <f>NPA!AW9+NES!AW9+'2026-PKL NPA'!AW9+'2026- Harian NES'!AW9+'2026-Harian NPA'!AW9+'2026-LPK MKS NPA'!AW9+'2026-LPK MKM NPA'!AW9+'2026-LPK DKP NPA '!AW9+'2026-LPK CTPS NPA'!AW9+'2026-LPK CDB NPA'!AW9+'2026-OS CTPS NPA'!AW9+'2026-OS CDB NPA'!AW9</f>
        <v>0</v>
      </c>
      <c r="AX9" s="11" t="e">
        <f t="shared" si="22"/>
        <v>#DIV/0!</v>
      </c>
      <c r="AY9" s="11" t="e">
        <f t="shared" si="23"/>
        <v>#DIV/0!</v>
      </c>
      <c r="AZ9" s="19">
        <f t="shared" si="26"/>
        <v>409107714</v>
      </c>
      <c r="BA9" s="11" t="e">
        <f t="shared" si="27"/>
        <v>#DIV/0!</v>
      </c>
      <c r="BB9" s="11" t="e">
        <f t="shared" si="24"/>
        <v>#DIV/0!</v>
      </c>
      <c r="BC9" s="63">
        <f t="shared" si="28"/>
        <v>409107714</v>
      </c>
      <c r="BD9" s="63">
        <f t="shared" si="25"/>
        <v>0</v>
      </c>
      <c r="BE9" s="63">
        <f t="shared" si="29"/>
        <v>0</v>
      </c>
      <c r="BF9" s="63">
        <f t="shared" si="30"/>
        <v>0</v>
      </c>
    </row>
    <row r="10" spans="2:58" x14ac:dyDescent="0.35">
      <c r="B10" s="3">
        <f t="shared" si="31"/>
        <v>4</v>
      </c>
      <c r="C10" s="3" t="s">
        <v>19</v>
      </c>
      <c r="D10" s="7">
        <f>NPA!D10+NES!D10+'2026-PKL NPA'!D10+'2026- Harian NES'!D10+'2026-Harian NPA'!D10+'2026-LPK MKS NPA'!D10+'2026-LPK MKM NPA'!D10+'2026-LPK DKP NPA '!D10+'2026-LPK CTPS NPA'!D10+'2026-LPK CDB NPA'!D10+'2026-OS CTPS NPA'!D10+'2026-OS CDB NPA'!D10</f>
        <v>33</v>
      </c>
      <c r="E10" s="7">
        <f>NPA!E10+NES!E10+'2026-PKL NPA'!E10+'2026- Harian NES'!E10+'2026-Harian NPA'!E10+'2026-LPK MKS NPA'!E10+'2026-LPK MKM NPA'!E10+'2026-LPK DKP NPA '!E10+'2026-LPK CTPS NPA'!E10+'2026-LPK CDB NPA'!E10+'2026-OS CTPS NPA'!E10+'2026-OS CDB NPA'!E10</f>
        <v>268678767</v>
      </c>
      <c r="F10" s="11">
        <f t="shared" si="0"/>
        <v>0.10153846153846154</v>
      </c>
      <c r="G10" s="11">
        <f t="shared" si="1"/>
        <v>0.10757172173471397</v>
      </c>
      <c r="H10" s="7">
        <f>NPA!H10+NES!H10+'2026-PKL NPA'!H10+'2026- Harian NES'!H10+'2026-Harian NPA'!H10+'2026-LPK MKS NPA'!H10+'2026-LPK MKM NPA'!H10+'2026-LPK DKP NPA '!H10+'2026-LPK CTPS NPA'!H10+'2026-LPK CDB NPA'!H10+'2026-OS CTPS NPA'!H10+'2026-OS CDB NPA'!H10</f>
        <v>31</v>
      </c>
      <c r="I10" s="7">
        <f>NPA!I10+NES!I10+'2026-PKL NPA'!I10+'2026- Harian NES'!I10+'2026-Harian NPA'!I10+'2026-LPK MKS NPA'!I10+'2026-LPK MKM NPA'!I10+'2026-LPK DKP NPA '!I10+'2026-LPK CTPS NPA'!I10+'2026-LPK CDB NPA'!I10+'2026-OS CTPS NPA'!I10+'2026-OS CDB NPA'!I10</f>
        <v>233978970</v>
      </c>
      <c r="J10" s="11">
        <f t="shared" si="2"/>
        <v>9.9678456591639875E-2</v>
      </c>
      <c r="K10" s="11">
        <f t="shared" si="3"/>
        <v>0.10050348520263573</v>
      </c>
      <c r="L10" s="7">
        <f>NPA!L10+NES!L10+'2026-PKL NPA'!L10+'2026- Harian NES'!L10+'2026-Harian NPA'!L10+'2026-LPK MKS NPA'!L10+'2026-LPK MKM NPA'!L10+'2026-LPK DKP NPA '!L10+'2026-LPK CTPS NPA'!L10+'2026-LPK CDB NPA'!L10+'2026-OS CTPS NPA'!L10+'2026-OS CDB NPA'!L10</f>
        <v>31</v>
      </c>
      <c r="M10" s="7">
        <f>NPA!M10+NES!M10+'2026-PKL NPA'!M10+'2026- Harian NES'!M10+'2026-Harian NPA'!M10+'2026-LPK MKS NPA'!M10+'2026-LPK MKM NPA'!M10+'2026-LPK DKP NPA '!M10+'2026-LPK CTPS NPA'!M10+'2026-LPK CDB NPA'!M10+'2026-OS CTPS NPA'!M10+'2026-OS CDB NPA'!M10</f>
        <v>228349028</v>
      </c>
      <c r="N10" s="11">
        <f t="shared" si="4"/>
        <v>9.9678456591639875E-2</v>
      </c>
      <c r="O10" s="11">
        <f t="shared" si="5"/>
        <v>0.10529162103253362</v>
      </c>
      <c r="P10" s="7">
        <f>NPA!P10+NES!P10+'2026-PKL NPA'!P10+'2026- Harian NES'!P10+'2026-Harian NPA'!P10+'2026-LPK MKS NPA'!P10+'2026-LPK MKM NPA'!P10+'2026-LPK DKP NPA '!P10+'2026-LPK CTPS NPA'!P10+'2026-LPK CDB NPA'!P10+'2026-OS CTPS NPA'!P10+'2026-OS CDB NPA'!P10</f>
        <v>0</v>
      </c>
      <c r="Q10" s="7">
        <f>NPA!Q10+NES!Q10+'2026-PKL NPA'!Q10+'2026- Harian NES'!Q10+'2026-Harian NPA'!Q10+'2026-LPK MKS NPA'!Q10+'2026-LPK MKM NPA'!Q10+'2026-LPK DKP NPA '!Q10+'2026-LPK CTPS NPA'!Q10+'2026-LPK CDB NPA'!Q10+'2026-OS CTPS NPA'!Q10+'2026-OS CDB NPA'!Q10</f>
        <v>0</v>
      </c>
      <c r="R10" s="11" t="e">
        <f t="shared" si="6"/>
        <v>#DIV/0!</v>
      </c>
      <c r="S10" s="11" t="e">
        <f t="shared" si="7"/>
        <v>#DIV/0!</v>
      </c>
      <c r="T10" s="7">
        <f>NPA!T10+NES!T10+'2026-PKL NPA'!T10+'2026- Harian NES'!T10+'2026-Harian NPA'!T10+'2026-LPK MKS NPA'!T10+'2026-LPK MKM NPA'!T10+'2026-LPK DKP NPA '!T10+'2026-LPK CTPS NPA'!T10+'2026-LPK CDB NPA'!T10+'2026-OS CTPS NPA'!T10+'2026-OS CDB NPA'!T10</f>
        <v>0</v>
      </c>
      <c r="U10" s="7">
        <f>NPA!U10+NES!U10+'2026-PKL NPA'!U10+'2026- Harian NES'!U10+'2026-Harian NPA'!U10+'2026-LPK MKS NPA'!U10+'2026-LPK MKM NPA'!U10+'2026-LPK DKP NPA '!U10+'2026-LPK CTPS NPA'!U10+'2026-LPK CDB NPA'!U10+'2026-OS CTPS NPA'!U10+'2026-OS CDB NPA'!U10</f>
        <v>0</v>
      </c>
      <c r="V10" s="11" t="e">
        <f t="shared" si="8"/>
        <v>#DIV/0!</v>
      </c>
      <c r="W10" s="11" t="e">
        <f t="shared" si="9"/>
        <v>#DIV/0!</v>
      </c>
      <c r="X10" s="7">
        <f>NPA!X10+NES!X10+'2026-PKL NPA'!X10+'2026- Harian NES'!X10+'2026-Harian NPA'!X10+'2026-LPK MKS NPA'!X10+'2026-LPK MKM NPA'!X10+'2026-LPK DKP NPA '!X10+'2026-LPK CTPS NPA'!X10+'2026-LPK CDB NPA'!X10+'2026-OS CTPS NPA'!X10+'2026-OS CDB NPA'!X10</f>
        <v>0</v>
      </c>
      <c r="Y10" s="7">
        <f>NPA!Y10+NES!Y10+'2026-PKL NPA'!Y10+'2026- Harian NES'!Y10+'2026-Harian NPA'!Y10+'2026-LPK MKS NPA'!Y10+'2026-LPK MKM NPA'!Y10+'2026-LPK DKP NPA '!Y10+'2026-LPK CTPS NPA'!Y10+'2026-LPK CDB NPA'!Y10+'2026-OS CTPS NPA'!Y10+'2026-OS CDB NPA'!Y10</f>
        <v>0</v>
      </c>
      <c r="Z10" s="11" t="e">
        <f t="shared" si="10"/>
        <v>#DIV/0!</v>
      </c>
      <c r="AA10" s="11" t="e">
        <f t="shared" si="11"/>
        <v>#DIV/0!</v>
      </c>
      <c r="AB10" s="7">
        <f>NPA!AB10+NES!AB10+'2026-PKL NPA'!AB10+'2026- Harian NES'!AB10+'2026-Harian NPA'!AB10+'2026-LPK MKS NPA'!AB10+'2026-LPK MKM NPA'!AB10+'2026-LPK DKP NPA '!AB10+'2026-LPK CTPS NPA'!AB10+'2026-LPK CDB NPA'!AB10+'2026-OS CTPS NPA'!AB10+'2026-OS CDB NPA'!AB10</f>
        <v>0</v>
      </c>
      <c r="AC10" s="7">
        <f>NPA!AC10+NES!AC10+'2026-PKL NPA'!AC10+'2026- Harian NES'!AC10+'2026-Harian NPA'!AC10+'2026-LPK MKS NPA'!AC10+'2026-LPK MKM NPA'!AC10+'2026-LPK DKP NPA '!AC10+'2026-LPK CTPS NPA'!AC10+'2026-LPK CDB NPA'!AC10+'2026-OS CTPS NPA'!AC10+'2026-OS CDB NPA'!AC10</f>
        <v>0</v>
      </c>
      <c r="AD10" s="11" t="e">
        <f t="shared" si="12"/>
        <v>#DIV/0!</v>
      </c>
      <c r="AE10" s="11" t="e">
        <f t="shared" si="13"/>
        <v>#DIV/0!</v>
      </c>
      <c r="AF10" s="7">
        <f>NPA!AF10+NES!AF10+'2026-PKL NPA'!AF10+'2026- Harian NES'!AF10+'2026-Harian NPA'!AF10+'2026-LPK MKS NPA'!AF10+'2026-LPK MKM NPA'!AF10+'2026-LPK DKP NPA '!AF10+'2026-LPK CTPS NPA'!AF10+'2026-LPK CDB NPA'!AF10+'2026-OS CTPS NPA'!AF10+'2026-OS CDB NPA'!AF10</f>
        <v>0</v>
      </c>
      <c r="AG10" s="7">
        <f>NPA!AG10+NES!AG10+'2026-PKL NPA'!AG10+'2026- Harian NES'!AG10+'2026-Harian NPA'!AG10+'2026-LPK MKS NPA'!AG10+'2026-LPK MKM NPA'!AG10+'2026-LPK DKP NPA '!AG10+'2026-LPK CTPS NPA'!AG10+'2026-LPK CDB NPA'!AG10+'2026-OS CTPS NPA'!AG10+'2026-OS CDB NPA'!AG10</f>
        <v>0</v>
      </c>
      <c r="AH10" s="11" t="e">
        <f t="shared" si="14"/>
        <v>#DIV/0!</v>
      </c>
      <c r="AI10" s="11" t="e">
        <f t="shared" si="15"/>
        <v>#DIV/0!</v>
      </c>
      <c r="AJ10" s="7">
        <f>NPA!AJ10+NES!AJ10+'2026-PKL NPA'!AJ10+'2026- Harian NES'!AJ10+'2026-Harian NPA'!AJ10+'2026-LPK MKS NPA'!AJ10+'2026-LPK MKM NPA'!AJ10+'2026-LPK DKP NPA '!AJ10+'2026-LPK CTPS NPA'!AJ10+'2026-LPK CDB NPA'!AJ10+'2026-OS CTPS NPA'!AJ10+'2026-OS CDB NPA'!AJ10</f>
        <v>0</v>
      </c>
      <c r="AK10" s="7">
        <f>NPA!AK10+NES!AK10+'2026-PKL NPA'!AK10+'2026- Harian NES'!AK10+'2026-Harian NPA'!AK10+'2026-LPK MKS NPA'!AK10+'2026-LPK MKM NPA'!AK10+'2026-LPK DKP NPA '!AK10+'2026-LPK CTPS NPA'!AK10+'2026-LPK CDB NPA'!AK10+'2026-OS CTPS NPA'!AK10+'2026-OS CDB NPA'!AK10</f>
        <v>0</v>
      </c>
      <c r="AL10" s="11" t="e">
        <f t="shared" si="16"/>
        <v>#DIV/0!</v>
      </c>
      <c r="AM10" s="11" t="e">
        <f t="shared" si="17"/>
        <v>#DIV/0!</v>
      </c>
      <c r="AN10" s="7">
        <f>NPA!AN10+NES!AN10+'2026-PKL NPA'!AN10+'2026- Harian NES'!AN10+'2026-Harian NPA'!AN10+'2026-LPK MKS NPA'!AN10+'2026-LPK MKM NPA'!AN10+'2026-LPK DKP NPA '!AN10+'2026-LPK CTPS NPA'!AN10+'2026-LPK CDB NPA'!AN10+'2026-OS CTPS NPA'!AN10+'2026-OS CDB NPA'!AN10</f>
        <v>0</v>
      </c>
      <c r="AO10" s="7">
        <f>NPA!AO10+NES!AO10+'2026-PKL NPA'!AO10+'2026- Harian NES'!AO10+'2026-Harian NPA'!AO10+'2026-LPK MKS NPA'!AO10+'2026-LPK MKM NPA'!AO10+'2026-LPK DKP NPA '!AO10+'2026-LPK CTPS NPA'!AO10+'2026-LPK CDB NPA'!AO10+'2026-OS CTPS NPA'!AO10+'2026-OS CDB NPA'!AO10</f>
        <v>0</v>
      </c>
      <c r="AP10" s="11" t="e">
        <f t="shared" si="18"/>
        <v>#DIV/0!</v>
      </c>
      <c r="AQ10" s="11" t="e">
        <f t="shared" si="19"/>
        <v>#DIV/0!</v>
      </c>
      <c r="AR10" s="7">
        <f>NPA!AR10+NES!AR10+'2026-PKL NPA'!AR10+'2026- Harian NES'!AR10+'2026-Harian NPA'!AR10+'2026-LPK MKS NPA'!AR10+'2026-LPK MKM NPA'!AR10+'2026-LPK DKP NPA '!AR10+'2026-LPK CTPS NPA'!AR10+'2026-LPK CDB NPA'!AR10+'2026-OS CTPS NPA'!AR10+'2026-OS CDB NPA'!AR10</f>
        <v>0</v>
      </c>
      <c r="AS10" s="7">
        <f>NPA!AS10+NES!AS10+'2026-PKL NPA'!AS10+'2026- Harian NES'!AS10+'2026-Harian NPA'!AS10+'2026-LPK MKS NPA'!AS10+'2026-LPK MKM NPA'!AS10+'2026-LPK DKP NPA '!AS10+'2026-LPK CTPS NPA'!AS10+'2026-LPK CDB NPA'!AS10+'2026-OS CTPS NPA'!AS10+'2026-OS CDB NPA'!AS10</f>
        <v>0</v>
      </c>
      <c r="AT10" s="11" t="e">
        <f t="shared" si="20"/>
        <v>#DIV/0!</v>
      </c>
      <c r="AU10" s="11" t="e">
        <f t="shared" si="21"/>
        <v>#DIV/0!</v>
      </c>
      <c r="AV10" s="7">
        <f>NPA!AV10+NES!AV10+'2026-PKL NPA'!AV10+'2026- Harian NES'!AV10+'2026-Harian NPA'!AV10+'2026-LPK MKS NPA'!AV10+'2026-LPK MKM NPA'!AV10+'2026-LPK DKP NPA '!AV10+'2026-LPK CTPS NPA'!AV10+'2026-LPK CDB NPA'!AV10+'2026-OS CTPS NPA'!AV10+'2026-OS CDB NPA'!AV10</f>
        <v>0</v>
      </c>
      <c r="AW10" s="7">
        <f>NPA!AW10+NES!AW10+'2026-PKL NPA'!AW10+'2026- Harian NES'!AW10+'2026-Harian NPA'!AW10+'2026-LPK MKS NPA'!AW10+'2026-LPK MKM NPA'!AW10+'2026-LPK DKP NPA '!AW10+'2026-LPK CTPS NPA'!AW10+'2026-LPK CDB NPA'!AW10+'2026-OS CTPS NPA'!AW10+'2026-OS CDB NPA'!AW10</f>
        <v>0</v>
      </c>
      <c r="AX10" s="11" t="e">
        <f t="shared" si="22"/>
        <v>#DIV/0!</v>
      </c>
      <c r="AY10" s="11" t="e">
        <f t="shared" si="23"/>
        <v>#DIV/0!</v>
      </c>
      <c r="AZ10" s="19">
        <f t="shared" si="26"/>
        <v>731006765</v>
      </c>
      <c r="BA10" s="11" t="e">
        <f t="shared" si="27"/>
        <v>#DIV/0!</v>
      </c>
      <c r="BB10" s="11" t="e">
        <f t="shared" si="24"/>
        <v>#DIV/0!</v>
      </c>
      <c r="BC10" s="63">
        <f t="shared" si="28"/>
        <v>731006765</v>
      </c>
      <c r="BD10" s="63">
        <f t="shared" si="25"/>
        <v>0</v>
      </c>
      <c r="BE10" s="63">
        <f t="shared" si="29"/>
        <v>0</v>
      </c>
      <c r="BF10" s="63">
        <f t="shared" si="30"/>
        <v>0</v>
      </c>
    </row>
    <row r="11" spans="2:58" x14ac:dyDescent="0.35">
      <c r="B11" s="3">
        <f t="shared" si="31"/>
        <v>5</v>
      </c>
      <c r="C11" s="3" t="s">
        <v>20</v>
      </c>
      <c r="D11" s="7">
        <f>NPA!D11+NES!D11+'2026-PKL NPA'!D11+'2026- Harian NES'!D11+'2026-Harian NPA'!D11+'2026-LPK MKS NPA'!D11+'2026-LPK MKM NPA'!D11+'2026-LPK DKP NPA '!D11+'2026-LPK CTPS NPA'!D11+'2026-LPK CDB NPA'!D11+'2026-OS CTPS NPA'!D11+'2026-OS CDB NPA'!D11</f>
        <v>5</v>
      </c>
      <c r="E11" s="7">
        <f>NPA!E11+NES!E11+'2026-PKL NPA'!E11+'2026- Harian NES'!E11+'2026-Harian NPA'!E11+'2026-LPK MKS NPA'!E11+'2026-LPK MKM NPA'!E11+'2026-LPK DKP NPA '!E11+'2026-LPK CTPS NPA'!E11+'2026-LPK CDB NPA'!E11+'2026-OS CTPS NPA'!E11+'2026-OS CDB NPA'!E11</f>
        <v>56116099</v>
      </c>
      <c r="F11" s="11">
        <f t="shared" si="0"/>
        <v>1.5384615384615385E-2</v>
      </c>
      <c r="G11" s="11">
        <f t="shared" si="1"/>
        <v>2.246737043595879E-2</v>
      </c>
      <c r="H11" s="7">
        <f>NPA!H11+NES!H11+'2026-PKL NPA'!H11+'2026- Harian NES'!H11+'2026-Harian NPA'!H11+'2026-LPK MKS NPA'!H11+'2026-LPK MKM NPA'!H11+'2026-LPK DKP NPA '!H11+'2026-LPK CTPS NPA'!H11+'2026-LPK CDB NPA'!H11+'2026-OS CTPS NPA'!H11+'2026-OS CDB NPA'!H11</f>
        <v>5</v>
      </c>
      <c r="I11" s="7">
        <f>NPA!I11+NES!I11+'2026-PKL NPA'!I11+'2026- Harian NES'!I11+'2026-Harian NPA'!I11+'2026-LPK MKS NPA'!I11+'2026-LPK MKM NPA'!I11+'2026-LPK DKP NPA '!I11+'2026-LPK CTPS NPA'!I11+'2026-LPK CDB NPA'!I11+'2026-OS CTPS NPA'!I11+'2026-OS CDB NPA'!I11</f>
        <v>54749422</v>
      </c>
      <c r="J11" s="11">
        <f t="shared" si="2"/>
        <v>1.607717041800643E-2</v>
      </c>
      <c r="K11" s="11">
        <f t="shared" si="3"/>
        <v>2.3517103797105608E-2</v>
      </c>
      <c r="L11" s="7">
        <f>NPA!L11+NES!L11+'2026-PKL NPA'!L11+'2026- Harian NES'!L11+'2026-Harian NPA'!L11+'2026-LPK MKS NPA'!L11+'2026-LPK MKM NPA'!L11+'2026-LPK DKP NPA '!L11+'2026-LPK CTPS NPA'!L11+'2026-LPK CDB NPA'!L11+'2026-OS CTPS NPA'!L11+'2026-OS CDB NPA'!L11</f>
        <v>5</v>
      </c>
      <c r="M11" s="7">
        <f>NPA!M11+NES!M11+'2026-PKL NPA'!M11+'2026- Harian NES'!M11+'2026-Harian NPA'!M11+'2026-LPK MKS NPA'!M11+'2026-LPK MKM NPA'!M11+'2026-LPK DKP NPA '!M11+'2026-LPK CTPS NPA'!M11+'2026-LPK CDB NPA'!M11+'2026-OS CTPS NPA'!M11+'2026-OS CDB NPA'!M11</f>
        <v>52851029</v>
      </c>
      <c r="N11" s="11">
        <f t="shared" si="4"/>
        <v>1.607717041800643E-2</v>
      </c>
      <c r="O11" s="11">
        <f t="shared" si="5"/>
        <v>2.4369582675199494E-2</v>
      </c>
      <c r="P11" s="7">
        <f>NPA!P11+NES!P11+'2026-PKL NPA'!P11+'2026- Harian NES'!P11+'2026-Harian NPA'!P11+'2026-LPK MKS NPA'!P11+'2026-LPK MKM NPA'!P11+'2026-LPK DKP NPA '!P11+'2026-LPK CTPS NPA'!P11+'2026-LPK CDB NPA'!P11+'2026-OS CTPS NPA'!P11+'2026-OS CDB NPA'!P11</f>
        <v>0</v>
      </c>
      <c r="Q11" s="7">
        <f>NPA!Q11+NES!Q11+'2026-PKL NPA'!Q11+'2026- Harian NES'!Q11+'2026-Harian NPA'!Q11+'2026-LPK MKS NPA'!Q11+'2026-LPK MKM NPA'!Q11+'2026-LPK DKP NPA '!Q11+'2026-LPK CTPS NPA'!Q11+'2026-LPK CDB NPA'!Q11+'2026-OS CTPS NPA'!Q11+'2026-OS CDB NPA'!Q11</f>
        <v>0</v>
      </c>
      <c r="R11" s="11" t="e">
        <f t="shared" si="6"/>
        <v>#DIV/0!</v>
      </c>
      <c r="S11" s="11" t="e">
        <f t="shared" si="7"/>
        <v>#DIV/0!</v>
      </c>
      <c r="T11" s="7">
        <f>NPA!T11+NES!T11+'2026-PKL NPA'!T11+'2026- Harian NES'!T11+'2026-Harian NPA'!T11+'2026-LPK MKS NPA'!T11+'2026-LPK MKM NPA'!T11+'2026-LPK DKP NPA '!T11+'2026-LPK CTPS NPA'!T11+'2026-LPK CDB NPA'!T11+'2026-OS CTPS NPA'!T11+'2026-OS CDB NPA'!T11</f>
        <v>0</v>
      </c>
      <c r="U11" s="7">
        <f>NPA!U11+NES!U11+'2026-PKL NPA'!U11+'2026- Harian NES'!U11+'2026-Harian NPA'!U11+'2026-LPK MKS NPA'!U11+'2026-LPK MKM NPA'!U11+'2026-LPK DKP NPA '!U11+'2026-LPK CTPS NPA'!U11+'2026-LPK CDB NPA'!U11+'2026-OS CTPS NPA'!U11+'2026-OS CDB NPA'!U11</f>
        <v>0</v>
      </c>
      <c r="V11" s="11" t="e">
        <f t="shared" si="8"/>
        <v>#DIV/0!</v>
      </c>
      <c r="W11" s="11" t="e">
        <f t="shared" si="9"/>
        <v>#DIV/0!</v>
      </c>
      <c r="X11" s="7">
        <f>NPA!X11+NES!X11+'2026-PKL NPA'!X11+'2026- Harian NES'!X11+'2026-Harian NPA'!X11+'2026-LPK MKS NPA'!X11+'2026-LPK MKM NPA'!X11+'2026-LPK DKP NPA '!X11+'2026-LPK CTPS NPA'!X11+'2026-LPK CDB NPA'!X11+'2026-OS CTPS NPA'!X11+'2026-OS CDB NPA'!X11</f>
        <v>0</v>
      </c>
      <c r="Y11" s="7">
        <f>NPA!Y11+NES!Y11+'2026-PKL NPA'!Y11+'2026- Harian NES'!Y11+'2026-Harian NPA'!Y11+'2026-LPK MKS NPA'!Y11+'2026-LPK MKM NPA'!Y11+'2026-LPK DKP NPA '!Y11+'2026-LPK CTPS NPA'!Y11+'2026-LPK CDB NPA'!Y11+'2026-OS CTPS NPA'!Y11+'2026-OS CDB NPA'!Y11</f>
        <v>0</v>
      </c>
      <c r="Z11" s="11" t="e">
        <f t="shared" si="10"/>
        <v>#DIV/0!</v>
      </c>
      <c r="AA11" s="11" t="e">
        <f t="shared" si="11"/>
        <v>#DIV/0!</v>
      </c>
      <c r="AB11" s="7">
        <f>NPA!AB11+NES!AB11+'2026-PKL NPA'!AB11+'2026- Harian NES'!AB11+'2026-Harian NPA'!AB11+'2026-LPK MKS NPA'!AB11+'2026-LPK MKM NPA'!AB11+'2026-LPK DKP NPA '!AB11+'2026-LPK CTPS NPA'!AB11+'2026-LPK CDB NPA'!AB11+'2026-OS CTPS NPA'!AB11+'2026-OS CDB NPA'!AB11</f>
        <v>0</v>
      </c>
      <c r="AC11" s="7">
        <f>NPA!AC11+NES!AC11+'2026-PKL NPA'!AC11+'2026- Harian NES'!AC11+'2026-Harian NPA'!AC11+'2026-LPK MKS NPA'!AC11+'2026-LPK MKM NPA'!AC11+'2026-LPK DKP NPA '!AC11+'2026-LPK CTPS NPA'!AC11+'2026-LPK CDB NPA'!AC11+'2026-OS CTPS NPA'!AC11+'2026-OS CDB NPA'!AC11</f>
        <v>0</v>
      </c>
      <c r="AD11" s="11" t="e">
        <f t="shared" si="12"/>
        <v>#DIV/0!</v>
      </c>
      <c r="AE11" s="11" t="e">
        <f t="shared" si="13"/>
        <v>#DIV/0!</v>
      </c>
      <c r="AF11" s="7">
        <f>NPA!AF11+NES!AF11+'2026-PKL NPA'!AF11+'2026- Harian NES'!AF11+'2026-Harian NPA'!AF11+'2026-LPK MKS NPA'!AF11+'2026-LPK MKM NPA'!AF11+'2026-LPK DKP NPA '!AF11+'2026-LPK CTPS NPA'!AF11+'2026-LPK CDB NPA'!AF11+'2026-OS CTPS NPA'!AF11+'2026-OS CDB NPA'!AF11</f>
        <v>0</v>
      </c>
      <c r="AG11" s="7">
        <f>NPA!AG11+NES!AG11+'2026-PKL NPA'!AG11+'2026- Harian NES'!AG11+'2026-Harian NPA'!AG11+'2026-LPK MKS NPA'!AG11+'2026-LPK MKM NPA'!AG11+'2026-LPK DKP NPA '!AG11+'2026-LPK CTPS NPA'!AG11+'2026-LPK CDB NPA'!AG11+'2026-OS CTPS NPA'!AG11+'2026-OS CDB NPA'!AG11</f>
        <v>0</v>
      </c>
      <c r="AH11" s="11" t="e">
        <f t="shared" si="14"/>
        <v>#DIV/0!</v>
      </c>
      <c r="AI11" s="11" t="e">
        <f t="shared" si="15"/>
        <v>#DIV/0!</v>
      </c>
      <c r="AJ11" s="7">
        <f>NPA!AJ11+NES!AJ11+'2026-PKL NPA'!AJ11+'2026- Harian NES'!AJ11+'2026-Harian NPA'!AJ11+'2026-LPK MKS NPA'!AJ11+'2026-LPK MKM NPA'!AJ11+'2026-LPK DKP NPA '!AJ11+'2026-LPK CTPS NPA'!AJ11+'2026-LPK CDB NPA'!AJ11+'2026-OS CTPS NPA'!AJ11+'2026-OS CDB NPA'!AJ11</f>
        <v>0</v>
      </c>
      <c r="AK11" s="7">
        <f>NPA!AK11+NES!AK11+'2026-PKL NPA'!AK11+'2026- Harian NES'!AK11+'2026-Harian NPA'!AK11+'2026-LPK MKS NPA'!AK11+'2026-LPK MKM NPA'!AK11+'2026-LPK DKP NPA '!AK11+'2026-LPK CTPS NPA'!AK11+'2026-LPK CDB NPA'!AK11+'2026-OS CTPS NPA'!AK11+'2026-OS CDB NPA'!AK11</f>
        <v>0</v>
      </c>
      <c r="AL11" s="11" t="e">
        <f t="shared" si="16"/>
        <v>#DIV/0!</v>
      </c>
      <c r="AM11" s="11" t="e">
        <f t="shared" si="17"/>
        <v>#DIV/0!</v>
      </c>
      <c r="AN11" s="7">
        <f>NPA!AN11+NES!AN11+'2026-PKL NPA'!AN11+'2026- Harian NES'!AN11+'2026-Harian NPA'!AN11+'2026-LPK MKS NPA'!AN11+'2026-LPK MKM NPA'!AN11+'2026-LPK DKP NPA '!AN11+'2026-LPK CTPS NPA'!AN11+'2026-LPK CDB NPA'!AN11+'2026-OS CTPS NPA'!AN11+'2026-OS CDB NPA'!AN11</f>
        <v>0</v>
      </c>
      <c r="AO11" s="7">
        <f>NPA!AO11+NES!AO11+'2026-PKL NPA'!AO11+'2026- Harian NES'!AO11+'2026-Harian NPA'!AO11+'2026-LPK MKS NPA'!AO11+'2026-LPK MKM NPA'!AO11+'2026-LPK DKP NPA '!AO11+'2026-LPK CTPS NPA'!AO11+'2026-LPK CDB NPA'!AO11+'2026-OS CTPS NPA'!AO11+'2026-OS CDB NPA'!AO11</f>
        <v>0</v>
      </c>
      <c r="AP11" s="11" t="e">
        <f t="shared" si="18"/>
        <v>#DIV/0!</v>
      </c>
      <c r="AQ11" s="11" t="e">
        <f t="shared" si="19"/>
        <v>#DIV/0!</v>
      </c>
      <c r="AR11" s="7">
        <f>NPA!AR11+NES!AR11+'2026-PKL NPA'!AR11+'2026- Harian NES'!AR11+'2026-Harian NPA'!AR11+'2026-LPK MKS NPA'!AR11+'2026-LPK MKM NPA'!AR11+'2026-LPK DKP NPA '!AR11+'2026-LPK CTPS NPA'!AR11+'2026-LPK CDB NPA'!AR11+'2026-OS CTPS NPA'!AR11+'2026-OS CDB NPA'!AR11</f>
        <v>0</v>
      </c>
      <c r="AS11" s="7">
        <f>NPA!AS11+NES!AS11+'2026-PKL NPA'!AS11+'2026- Harian NES'!AS11+'2026-Harian NPA'!AS11+'2026-LPK MKS NPA'!AS11+'2026-LPK MKM NPA'!AS11+'2026-LPK DKP NPA '!AS11+'2026-LPK CTPS NPA'!AS11+'2026-LPK CDB NPA'!AS11+'2026-OS CTPS NPA'!AS11+'2026-OS CDB NPA'!AS11</f>
        <v>0</v>
      </c>
      <c r="AT11" s="11" t="e">
        <f t="shared" si="20"/>
        <v>#DIV/0!</v>
      </c>
      <c r="AU11" s="11" t="e">
        <f t="shared" si="21"/>
        <v>#DIV/0!</v>
      </c>
      <c r="AV11" s="7">
        <f>NPA!AV11+NES!AV11+'2026-PKL NPA'!AV11+'2026- Harian NES'!AV11+'2026-Harian NPA'!AV11+'2026-LPK MKS NPA'!AV11+'2026-LPK MKM NPA'!AV11+'2026-LPK DKP NPA '!AV11+'2026-LPK CTPS NPA'!AV11+'2026-LPK CDB NPA'!AV11+'2026-OS CTPS NPA'!AV11+'2026-OS CDB NPA'!AV11</f>
        <v>0</v>
      </c>
      <c r="AW11" s="7">
        <f>NPA!AW11+NES!AW11+'2026-PKL NPA'!AW11+'2026- Harian NES'!AW11+'2026-Harian NPA'!AW11+'2026-LPK MKS NPA'!AW11+'2026-LPK MKM NPA'!AW11+'2026-LPK DKP NPA '!AW11+'2026-LPK CTPS NPA'!AW11+'2026-LPK CDB NPA'!AW11+'2026-OS CTPS NPA'!AW11+'2026-OS CDB NPA'!AW11</f>
        <v>0</v>
      </c>
      <c r="AX11" s="11" t="e">
        <f t="shared" si="22"/>
        <v>#DIV/0!</v>
      </c>
      <c r="AY11" s="11" t="e">
        <f t="shared" si="23"/>
        <v>#DIV/0!</v>
      </c>
      <c r="AZ11" s="19">
        <f t="shared" si="26"/>
        <v>163716550</v>
      </c>
      <c r="BA11" s="11" t="e">
        <f t="shared" si="27"/>
        <v>#DIV/0!</v>
      </c>
      <c r="BB11" s="11" t="e">
        <f t="shared" si="24"/>
        <v>#DIV/0!</v>
      </c>
      <c r="BC11" s="63">
        <f t="shared" si="28"/>
        <v>163716550</v>
      </c>
      <c r="BD11" s="63">
        <f t="shared" si="25"/>
        <v>0</v>
      </c>
      <c r="BE11" s="63">
        <f t="shared" si="29"/>
        <v>0</v>
      </c>
      <c r="BF11" s="63">
        <f t="shared" si="30"/>
        <v>0</v>
      </c>
    </row>
    <row r="12" spans="2:58" x14ac:dyDescent="0.35">
      <c r="B12" s="3">
        <f t="shared" si="31"/>
        <v>6</v>
      </c>
      <c r="C12" s="3" t="s">
        <v>66</v>
      </c>
      <c r="D12" s="7">
        <f>NPA!D12+NES!D12+'2026-PKL NPA'!D12+'2026- Harian NES'!D12+'2026-Harian NPA'!D12+'2026-LPK MKS NPA'!D12+'2026-LPK MKM NPA'!D12+'2026-LPK DKP NPA '!D12+'2026-LPK CTPS NPA'!D12+'2026-LPK CDB NPA'!D12+'2026-OS CTPS NPA'!D12+'2026-OS CDB NPA'!D12</f>
        <v>22</v>
      </c>
      <c r="E12" s="7">
        <f>NPA!E12+NES!E12+'2026-PKL NPA'!E12+'2026- Harian NES'!E12+'2026-Harian NPA'!E12+'2026-LPK MKS NPA'!E12+'2026-LPK MKM NPA'!E12+'2026-LPK DKP NPA '!E12+'2026-LPK CTPS NPA'!E12+'2026-LPK CDB NPA'!E12+'2026-OS CTPS NPA'!E12+'2026-OS CDB NPA'!E12</f>
        <v>163588708</v>
      </c>
      <c r="F12" s="11">
        <f t="shared" si="0"/>
        <v>6.7692307692307691E-2</v>
      </c>
      <c r="G12" s="11">
        <f t="shared" si="1"/>
        <v>6.5496500420955769E-2</v>
      </c>
      <c r="H12" s="7">
        <f>NPA!H12+NES!H12+'2026-PKL NPA'!H12+'2026- Harian NES'!H12+'2026-Harian NPA'!H12+'2026-LPK MKS NPA'!H12+'2026-LPK MKM NPA'!H12+'2026-LPK DKP NPA '!H12+'2026-LPK CTPS NPA'!H12+'2026-LPK CDB NPA'!H12+'2026-OS CTPS NPA'!H12+'2026-OS CDB NPA'!H12</f>
        <v>20</v>
      </c>
      <c r="I12" s="7">
        <f>NPA!I12+NES!I12+'2026-PKL NPA'!I12+'2026- Harian NES'!I12+'2026-Harian NPA'!I12+'2026-LPK MKS NPA'!I12+'2026-LPK MKM NPA'!I12+'2026-LPK DKP NPA '!I12+'2026-LPK CTPS NPA'!I12+'2026-LPK CDB NPA'!I12+'2026-OS CTPS NPA'!I12+'2026-OS CDB NPA'!I12</f>
        <v>158052790</v>
      </c>
      <c r="J12" s="11">
        <f t="shared" si="2"/>
        <v>6.4308681672025719E-2</v>
      </c>
      <c r="K12" s="11">
        <f t="shared" si="3"/>
        <v>6.789010243527567E-2</v>
      </c>
      <c r="L12" s="7">
        <f>NPA!L12+NES!L12+'2026-PKL NPA'!L12+'2026- Harian NES'!L12+'2026-Harian NPA'!L12+'2026-LPK MKS NPA'!L12+'2026-LPK MKM NPA'!L12+'2026-LPK DKP NPA '!L12+'2026-LPK CTPS NPA'!L12+'2026-LPK CDB NPA'!L12+'2026-OS CTPS NPA'!L12+'2026-OS CDB NPA'!L12</f>
        <v>20</v>
      </c>
      <c r="M12" s="7">
        <f>NPA!M12+NES!M12+'2026-PKL NPA'!M12+'2026- Harian NES'!M12+'2026-Harian NPA'!M12+'2026-LPK MKS NPA'!M12+'2026-LPK MKM NPA'!M12+'2026-LPK DKP NPA '!M12+'2026-LPK CTPS NPA'!M12+'2026-LPK CDB NPA'!M12+'2026-OS CTPS NPA'!M12+'2026-OS CDB NPA'!M12</f>
        <v>147062086</v>
      </c>
      <c r="N12" s="11">
        <f t="shared" si="4"/>
        <v>6.4308681672025719E-2</v>
      </c>
      <c r="O12" s="11">
        <f t="shared" si="5"/>
        <v>6.7810253290703157E-2</v>
      </c>
      <c r="P12" s="7">
        <f>NPA!P12+NES!P12+'2026-PKL NPA'!P12+'2026- Harian NES'!P12+'2026-Harian NPA'!P12+'2026-LPK MKS NPA'!P12+'2026-LPK MKM NPA'!P12+'2026-LPK DKP NPA '!P12+'2026-LPK CTPS NPA'!P12+'2026-LPK CDB NPA'!P12+'2026-OS CTPS NPA'!P12+'2026-OS CDB NPA'!P12</f>
        <v>0</v>
      </c>
      <c r="Q12" s="7">
        <f>NPA!Q12+NES!Q12+'2026-PKL NPA'!Q12+'2026- Harian NES'!Q12+'2026-Harian NPA'!Q12+'2026-LPK MKS NPA'!Q12+'2026-LPK MKM NPA'!Q12+'2026-LPK DKP NPA '!Q12+'2026-LPK CTPS NPA'!Q12+'2026-LPK CDB NPA'!Q12+'2026-OS CTPS NPA'!Q12+'2026-OS CDB NPA'!Q12</f>
        <v>0</v>
      </c>
      <c r="R12" s="11" t="e">
        <f t="shared" si="6"/>
        <v>#DIV/0!</v>
      </c>
      <c r="S12" s="11" t="e">
        <f t="shared" si="7"/>
        <v>#DIV/0!</v>
      </c>
      <c r="T12" s="7">
        <f>NPA!T12+NES!T12+'2026-PKL NPA'!T12+'2026- Harian NES'!T12+'2026-Harian NPA'!T12+'2026-LPK MKS NPA'!T12+'2026-LPK MKM NPA'!T12+'2026-LPK DKP NPA '!T12+'2026-LPK CTPS NPA'!T12+'2026-LPK CDB NPA'!T12+'2026-OS CTPS NPA'!T12+'2026-OS CDB NPA'!T12</f>
        <v>0</v>
      </c>
      <c r="U12" s="7">
        <f>NPA!U12+NES!U12+'2026-PKL NPA'!U12+'2026- Harian NES'!U12+'2026-Harian NPA'!U12+'2026-LPK MKS NPA'!U12+'2026-LPK MKM NPA'!U12+'2026-LPK DKP NPA '!U12+'2026-LPK CTPS NPA'!U12+'2026-LPK CDB NPA'!U12+'2026-OS CTPS NPA'!U12+'2026-OS CDB NPA'!U12</f>
        <v>0</v>
      </c>
      <c r="V12" s="11" t="e">
        <f t="shared" si="8"/>
        <v>#DIV/0!</v>
      </c>
      <c r="W12" s="11" t="e">
        <f t="shared" si="9"/>
        <v>#DIV/0!</v>
      </c>
      <c r="X12" s="7">
        <f>NPA!X12+NES!X12+'2026-PKL NPA'!X12+'2026- Harian NES'!X12+'2026-Harian NPA'!X12+'2026-LPK MKS NPA'!X12+'2026-LPK MKM NPA'!X12+'2026-LPK DKP NPA '!X12+'2026-LPK CTPS NPA'!X12+'2026-LPK CDB NPA'!X12+'2026-OS CTPS NPA'!X12+'2026-OS CDB NPA'!X12</f>
        <v>0</v>
      </c>
      <c r="Y12" s="7">
        <f>NPA!Y12+NES!Y12+'2026-PKL NPA'!Y12+'2026- Harian NES'!Y12+'2026-Harian NPA'!Y12+'2026-LPK MKS NPA'!Y12+'2026-LPK MKM NPA'!Y12+'2026-LPK DKP NPA '!Y12+'2026-LPK CTPS NPA'!Y12+'2026-LPK CDB NPA'!Y12+'2026-OS CTPS NPA'!Y12+'2026-OS CDB NPA'!Y12</f>
        <v>0</v>
      </c>
      <c r="Z12" s="11" t="e">
        <f t="shared" si="10"/>
        <v>#DIV/0!</v>
      </c>
      <c r="AA12" s="11" t="e">
        <f t="shared" si="11"/>
        <v>#DIV/0!</v>
      </c>
      <c r="AB12" s="7">
        <f>NPA!AB12+NES!AB12+'2026-PKL NPA'!AB12+'2026- Harian NES'!AB12+'2026-Harian NPA'!AB12+'2026-LPK MKS NPA'!AB12+'2026-LPK MKM NPA'!AB12+'2026-LPK DKP NPA '!AB12+'2026-LPK CTPS NPA'!AB12+'2026-LPK CDB NPA'!AB12+'2026-OS CTPS NPA'!AB12+'2026-OS CDB NPA'!AB12</f>
        <v>0</v>
      </c>
      <c r="AC12" s="7">
        <f>NPA!AC12+NES!AC12+'2026-PKL NPA'!AC12+'2026- Harian NES'!AC12+'2026-Harian NPA'!AC12+'2026-LPK MKS NPA'!AC12+'2026-LPK MKM NPA'!AC12+'2026-LPK DKP NPA '!AC12+'2026-LPK CTPS NPA'!AC12+'2026-LPK CDB NPA'!AC12+'2026-OS CTPS NPA'!AC12+'2026-OS CDB NPA'!AC12</f>
        <v>0</v>
      </c>
      <c r="AD12" s="11" t="e">
        <f t="shared" si="12"/>
        <v>#DIV/0!</v>
      </c>
      <c r="AE12" s="11" t="e">
        <f t="shared" si="13"/>
        <v>#DIV/0!</v>
      </c>
      <c r="AF12" s="7">
        <f>NPA!AF12+NES!AF12+'2026-PKL NPA'!AF12+'2026- Harian NES'!AF12+'2026-Harian NPA'!AF12+'2026-LPK MKS NPA'!AF12+'2026-LPK MKM NPA'!AF12+'2026-LPK DKP NPA '!AF12+'2026-LPK CTPS NPA'!AF12+'2026-LPK CDB NPA'!AF12+'2026-OS CTPS NPA'!AF12+'2026-OS CDB NPA'!AF12</f>
        <v>0</v>
      </c>
      <c r="AG12" s="7">
        <f>NPA!AG12+NES!AG12+'2026-PKL NPA'!AG12+'2026- Harian NES'!AG12+'2026-Harian NPA'!AG12+'2026-LPK MKS NPA'!AG12+'2026-LPK MKM NPA'!AG12+'2026-LPK DKP NPA '!AG12+'2026-LPK CTPS NPA'!AG12+'2026-LPK CDB NPA'!AG12+'2026-OS CTPS NPA'!AG12+'2026-OS CDB NPA'!AG12</f>
        <v>0</v>
      </c>
      <c r="AH12" s="11" t="e">
        <f t="shared" si="14"/>
        <v>#DIV/0!</v>
      </c>
      <c r="AI12" s="11" t="e">
        <f t="shared" si="15"/>
        <v>#DIV/0!</v>
      </c>
      <c r="AJ12" s="7">
        <f>NPA!AJ12+NES!AJ12+'2026-PKL NPA'!AJ12+'2026- Harian NES'!AJ12+'2026-Harian NPA'!AJ12+'2026-LPK MKS NPA'!AJ12+'2026-LPK MKM NPA'!AJ12+'2026-LPK DKP NPA '!AJ12+'2026-LPK CTPS NPA'!AJ12+'2026-LPK CDB NPA'!AJ12+'2026-OS CTPS NPA'!AJ12+'2026-OS CDB NPA'!AJ12</f>
        <v>0</v>
      </c>
      <c r="AK12" s="7">
        <f>NPA!AK12+NES!AK12+'2026-PKL NPA'!AK12+'2026- Harian NES'!AK12+'2026-Harian NPA'!AK12+'2026-LPK MKS NPA'!AK12+'2026-LPK MKM NPA'!AK12+'2026-LPK DKP NPA '!AK12+'2026-LPK CTPS NPA'!AK12+'2026-LPK CDB NPA'!AK12+'2026-OS CTPS NPA'!AK12+'2026-OS CDB NPA'!AK12</f>
        <v>0</v>
      </c>
      <c r="AL12" s="11" t="e">
        <f t="shared" si="16"/>
        <v>#DIV/0!</v>
      </c>
      <c r="AM12" s="11" t="e">
        <f t="shared" si="17"/>
        <v>#DIV/0!</v>
      </c>
      <c r="AN12" s="7">
        <f>NPA!AN12+NES!AN12+'2026-PKL NPA'!AN12+'2026- Harian NES'!AN12+'2026-Harian NPA'!AN12+'2026-LPK MKS NPA'!AN12+'2026-LPK MKM NPA'!AN12+'2026-LPK DKP NPA '!AN12+'2026-LPK CTPS NPA'!AN12+'2026-LPK CDB NPA'!AN12+'2026-OS CTPS NPA'!AN12+'2026-OS CDB NPA'!AN12</f>
        <v>0</v>
      </c>
      <c r="AO12" s="7">
        <f>NPA!AO12+NES!AO12+'2026-PKL NPA'!AO12+'2026- Harian NES'!AO12+'2026-Harian NPA'!AO12+'2026-LPK MKS NPA'!AO12+'2026-LPK MKM NPA'!AO12+'2026-LPK DKP NPA '!AO12+'2026-LPK CTPS NPA'!AO12+'2026-LPK CDB NPA'!AO12+'2026-OS CTPS NPA'!AO12+'2026-OS CDB NPA'!AO12</f>
        <v>0</v>
      </c>
      <c r="AP12" s="11" t="e">
        <f t="shared" si="18"/>
        <v>#DIV/0!</v>
      </c>
      <c r="AQ12" s="11" t="e">
        <f t="shared" si="19"/>
        <v>#DIV/0!</v>
      </c>
      <c r="AR12" s="7">
        <f>NPA!AR12+NES!AR12+'2026-PKL NPA'!AR12+'2026- Harian NES'!AR12+'2026-Harian NPA'!AR12+'2026-LPK MKS NPA'!AR12+'2026-LPK MKM NPA'!AR12+'2026-LPK DKP NPA '!AR12+'2026-LPK CTPS NPA'!AR12+'2026-LPK CDB NPA'!AR12+'2026-OS CTPS NPA'!AR12+'2026-OS CDB NPA'!AR12</f>
        <v>0</v>
      </c>
      <c r="AS12" s="7">
        <f>NPA!AS12+NES!AS12+'2026-PKL NPA'!AS12+'2026- Harian NES'!AS12+'2026-Harian NPA'!AS12+'2026-LPK MKS NPA'!AS12+'2026-LPK MKM NPA'!AS12+'2026-LPK DKP NPA '!AS12+'2026-LPK CTPS NPA'!AS12+'2026-LPK CDB NPA'!AS12+'2026-OS CTPS NPA'!AS12+'2026-OS CDB NPA'!AS12</f>
        <v>0</v>
      </c>
      <c r="AT12" s="11" t="e">
        <f t="shared" si="20"/>
        <v>#DIV/0!</v>
      </c>
      <c r="AU12" s="11" t="e">
        <f t="shared" si="21"/>
        <v>#DIV/0!</v>
      </c>
      <c r="AV12" s="7">
        <f>NPA!AV12+NES!AV12+'2026-PKL NPA'!AV12+'2026- Harian NES'!AV12+'2026-Harian NPA'!AV12+'2026-LPK MKS NPA'!AV12+'2026-LPK MKM NPA'!AV12+'2026-LPK DKP NPA '!AV12+'2026-LPK CTPS NPA'!AV12+'2026-LPK CDB NPA'!AV12+'2026-OS CTPS NPA'!AV12+'2026-OS CDB NPA'!AV12</f>
        <v>0</v>
      </c>
      <c r="AW12" s="7">
        <f>NPA!AW12+NES!AW12+'2026-PKL NPA'!AW12+'2026- Harian NES'!AW12+'2026-Harian NPA'!AW12+'2026-LPK MKS NPA'!AW12+'2026-LPK MKM NPA'!AW12+'2026-LPK DKP NPA '!AW12+'2026-LPK CTPS NPA'!AW12+'2026-LPK CDB NPA'!AW12+'2026-OS CTPS NPA'!AW12+'2026-OS CDB NPA'!AW12</f>
        <v>0</v>
      </c>
      <c r="AX12" s="11" t="e">
        <f t="shared" si="22"/>
        <v>#DIV/0!</v>
      </c>
      <c r="AY12" s="11" t="e">
        <f t="shared" si="23"/>
        <v>#DIV/0!</v>
      </c>
      <c r="AZ12" s="19">
        <f t="shared" si="26"/>
        <v>468703584</v>
      </c>
      <c r="BA12" s="11" t="e">
        <f t="shared" si="27"/>
        <v>#DIV/0!</v>
      </c>
      <c r="BB12" s="11" t="e">
        <f t="shared" si="24"/>
        <v>#DIV/0!</v>
      </c>
      <c r="BC12" s="63">
        <f t="shared" si="28"/>
        <v>468703584</v>
      </c>
      <c r="BD12" s="63">
        <f t="shared" si="25"/>
        <v>0</v>
      </c>
      <c r="BE12" s="63">
        <f t="shared" si="29"/>
        <v>0</v>
      </c>
      <c r="BF12" s="63">
        <f t="shared" si="30"/>
        <v>0</v>
      </c>
    </row>
    <row r="13" spans="2:58" x14ac:dyDescent="0.35">
      <c r="B13" s="3">
        <f t="shared" si="31"/>
        <v>7</v>
      </c>
      <c r="C13" s="3" t="s">
        <v>39</v>
      </c>
      <c r="D13" s="7">
        <f>NPA!D13+NES!D13+'2026-PKL NPA'!D13+'2026- Harian NES'!D13+'2026-Harian NPA'!D13+'2026-LPK MKS NPA'!D13+'2026-LPK MKM NPA'!D13+'2026-LPK DKP NPA '!D13+'2026-LPK CTPS NPA'!D13+'2026-LPK CDB NPA'!D13+'2026-OS CTPS NPA'!D13+'2026-OS CDB NPA'!D13</f>
        <v>15</v>
      </c>
      <c r="E13" s="7">
        <f>NPA!E13+NES!E13+'2026-PKL NPA'!E13+'2026- Harian NES'!E13+'2026-Harian NPA'!E13+'2026-LPK MKS NPA'!E13+'2026-LPK MKM NPA'!E13+'2026-LPK DKP NPA '!E13+'2026-LPK CTPS NPA'!E13+'2026-LPK CDB NPA'!E13+'2026-OS CTPS NPA'!E13+'2026-OS CDB NPA'!E13</f>
        <v>143029030</v>
      </c>
      <c r="F13" s="11">
        <f t="shared" si="0"/>
        <v>4.6153846153846156E-2</v>
      </c>
      <c r="G13" s="11">
        <f t="shared" si="1"/>
        <v>5.7264960632881182E-2</v>
      </c>
      <c r="H13" s="7">
        <f>NPA!H13+NES!H13+'2026-PKL NPA'!H13+'2026- Harian NES'!H13+'2026-Harian NPA'!H13+'2026-LPK MKS NPA'!H13+'2026-LPK MKM NPA'!H13+'2026-LPK DKP NPA '!H13+'2026-LPK CTPS NPA'!H13+'2026-LPK CDB NPA'!H13+'2026-OS CTPS NPA'!H13+'2026-OS CDB NPA'!H13</f>
        <v>15</v>
      </c>
      <c r="I13" s="7">
        <f>NPA!I13+NES!I13+'2026-PKL NPA'!I13+'2026- Harian NES'!I13+'2026-Harian NPA'!I13+'2026-LPK MKS NPA'!I13+'2026-LPK MKM NPA'!I13+'2026-LPK DKP NPA '!I13+'2026-LPK CTPS NPA'!I13+'2026-LPK CDB NPA'!I13+'2026-OS CTPS NPA'!I13+'2026-OS CDB NPA'!I13</f>
        <v>131419610</v>
      </c>
      <c r="J13" s="11">
        <f t="shared" si="2"/>
        <v>4.8231511254019289E-2</v>
      </c>
      <c r="K13" s="11">
        <f t="shared" si="3"/>
        <v>5.6450068264558818E-2</v>
      </c>
      <c r="L13" s="7">
        <f>NPA!L13+NES!L13+'2026-PKL NPA'!L13+'2026- Harian NES'!L13+'2026-Harian NPA'!L13+'2026-LPK MKS NPA'!L13+'2026-LPK MKM NPA'!L13+'2026-LPK DKP NPA '!L13+'2026-LPK CTPS NPA'!L13+'2026-LPK CDB NPA'!L13+'2026-OS CTPS NPA'!L13+'2026-OS CDB NPA'!L13</f>
        <v>15</v>
      </c>
      <c r="M13" s="7">
        <f>NPA!M13+NES!M13+'2026-PKL NPA'!M13+'2026- Harian NES'!M13+'2026-Harian NPA'!M13+'2026-LPK MKS NPA'!M13+'2026-LPK MKM NPA'!M13+'2026-LPK DKP NPA '!M13+'2026-LPK CTPS NPA'!M13+'2026-LPK CDB NPA'!M13+'2026-OS CTPS NPA'!M13+'2026-OS CDB NPA'!M13</f>
        <v>137778778</v>
      </c>
      <c r="N13" s="11">
        <f t="shared" si="4"/>
        <v>4.8231511254019289E-2</v>
      </c>
      <c r="O13" s="11">
        <f t="shared" si="5"/>
        <v>6.3529724678756158E-2</v>
      </c>
      <c r="P13" s="7">
        <f>NPA!P13+NES!P13+'2026-PKL NPA'!P13+'2026- Harian NES'!P13+'2026-Harian NPA'!P13+'2026-LPK MKS NPA'!P13+'2026-LPK MKM NPA'!P13+'2026-LPK DKP NPA '!P13+'2026-LPK CTPS NPA'!P13+'2026-LPK CDB NPA'!P13+'2026-OS CTPS NPA'!P13+'2026-OS CDB NPA'!P13</f>
        <v>0</v>
      </c>
      <c r="Q13" s="7">
        <f>NPA!Q13+NES!Q13+'2026-PKL NPA'!Q13+'2026- Harian NES'!Q13+'2026-Harian NPA'!Q13+'2026-LPK MKS NPA'!Q13+'2026-LPK MKM NPA'!Q13+'2026-LPK DKP NPA '!Q13+'2026-LPK CTPS NPA'!Q13+'2026-LPK CDB NPA'!Q13+'2026-OS CTPS NPA'!Q13+'2026-OS CDB NPA'!Q13</f>
        <v>0</v>
      </c>
      <c r="R13" s="11" t="e">
        <f t="shared" si="6"/>
        <v>#DIV/0!</v>
      </c>
      <c r="S13" s="11" t="e">
        <f t="shared" si="7"/>
        <v>#DIV/0!</v>
      </c>
      <c r="T13" s="7">
        <f>NPA!T13+NES!T13+'2026-PKL NPA'!T13+'2026- Harian NES'!T13+'2026-Harian NPA'!T13+'2026-LPK MKS NPA'!T13+'2026-LPK MKM NPA'!T13+'2026-LPK DKP NPA '!T13+'2026-LPK CTPS NPA'!T13+'2026-LPK CDB NPA'!T13+'2026-OS CTPS NPA'!T13+'2026-OS CDB NPA'!T13</f>
        <v>0</v>
      </c>
      <c r="U13" s="7">
        <f>NPA!U13+NES!U13+'2026-PKL NPA'!U13+'2026- Harian NES'!U13+'2026-Harian NPA'!U13+'2026-LPK MKS NPA'!U13+'2026-LPK MKM NPA'!U13+'2026-LPK DKP NPA '!U13+'2026-LPK CTPS NPA'!U13+'2026-LPK CDB NPA'!U13+'2026-OS CTPS NPA'!U13+'2026-OS CDB NPA'!U13</f>
        <v>0</v>
      </c>
      <c r="V13" s="11" t="e">
        <f t="shared" si="8"/>
        <v>#DIV/0!</v>
      </c>
      <c r="W13" s="11" t="e">
        <f t="shared" si="9"/>
        <v>#DIV/0!</v>
      </c>
      <c r="X13" s="7">
        <f>NPA!X13+NES!X13+'2026-PKL NPA'!X13+'2026- Harian NES'!X13+'2026-Harian NPA'!X13+'2026-LPK MKS NPA'!X13+'2026-LPK MKM NPA'!X13+'2026-LPK DKP NPA '!X13+'2026-LPK CTPS NPA'!X13+'2026-LPK CDB NPA'!X13+'2026-OS CTPS NPA'!X13+'2026-OS CDB NPA'!X13</f>
        <v>0</v>
      </c>
      <c r="Y13" s="7">
        <f>NPA!Y13+NES!Y13+'2026-PKL NPA'!Y13+'2026- Harian NES'!Y13+'2026-Harian NPA'!Y13+'2026-LPK MKS NPA'!Y13+'2026-LPK MKM NPA'!Y13+'2026-LPK DKP NPA '!Y13+'2026-LPK CTPS NPA'!Y13+'2026-LPK CDB NPA'!Y13+'2026-OS CTPS NPA'!Y13+'2026-OS CDB NPA'!Y13</f>
        <v>0</v>
      </c>
      <c r="Z13" s="11" t="e">
        <f t="shared" si="10"/>
        <v>#DIV/0!</v>
      </c>
      <c r="AA13" s="11" t="e">
        <f t="shared" si="11"/>
        <v>#DIV/0!</v>
      </c>
      <c r="AB13" s="7">
        <f>NPA!AB13+NES!AB13+'2026-PKL NPA'!AB13+'2026- Harian NES'!AB13+'2026-Harian NPA'!AB13+'2026-LPK MKS NPA'!AB13+'2026-LPK MKM NPA'!AB13+'2026-LPK DKP NPA '!AB13+'2026-LPK CTPS NPA'!AB13+'2026-LPK CDB NPA'!AB13+'2026-OS CTPS NPA'!AB13+'2026-OS CDB NPA'!AB13</f>
        <v>0</v>
      </c>
      <c r="AC13" s="7">
        <f>NPA!AC13+NES!AC13+'2026-PKL NPA'!AC13+'2026- Harian NES'!AC13+'2026-Harian NPA'!AC13+'2026-LPK MKS NPA'!AC13+'2026-LPK MKM NPA'!AC13+'2026-LPK DKP NPA '!AC13+'2026-LPK CTPS NPA'!AC13+'2026-LPK CDB NPA'!AC13+'2026-OS CTPS NPA'!AC13+'2026-OS CDB NPA'!AC13</f>
        <v>0</v>
      </c>
      <c r="AD13" s="11" t="e">
        <f t="shared" si="12"/>
        <v>#DIV/0!</v>
      </c>
      <c r="AE13" s="11" t="e">
        <f t="shared" si="13"/>
        <v>#DIV/0!</v>
      </c>
      <c r="AF13" s="7">
        <f>NPA!AF13+NES!AF13+'2026-PKL NPA'!AF13+'2026- Harian NES'!AF13+'2026-Harian NPA'!AF13+'2026-LPK MKS NPA'!AF13+'2026-LPK MKM NPA'!AF13+'2026-LPK DKP NPA '!AF13+'2026-LPK CTPS NPA'!AF13+'2026-LPK CDB NPA'!AF13+'2026-OS CTPS NPA'!AF13+'2026-OS CDB NPA'!AF13</f>
        <v>0</v>
      </c>
      <c r="AG13" s="7">
        <f>NPA!AG13+NES!AG13+'2026-PKL NPA'!AG13+'2026- Harian NES'!AG13+'2026-Harian NPA'!AG13+'2026-LPK MKS NPA'!AG13+'2026-LPK MKM NPA'!AG13+'2026-LPK DKP NPA '!AG13+'2026-LPK CTPS NPA'!AG13+'2026-LPK CDB NPA'!AG13+'2026-OS CTPS NPA'!AG13+'2026-OS CDB NPA'!AG13</f>
        <v>0</v>
      </c>
      <c r="AH13" s="11" t="e">
        <f t="shared" si="14"/>
        <v>#DIV/0!</v>
      </c>
      <c r="AI13" s="11" t="e">
        <f t="shared" si="15"/>
        <v>#DIV/0!</v>
      </c>
      <c r="AJ13" s="7">
        <f>NPA!AJ13+NES!AJ13+'2026-PKL NPA'!AJ13+'2026- Harian NES'!AJ13+'2026-Harian NPA'!AJ13+'2026-LPK MKS NPA'!AJ13+'2026-LPK MKM NPA'!AJ13+'2026-LPK DKP NPA '!AJ13+'2026-LPK CTPS NPA'!AJ13+'2026-LPK CDB NPA'!AJ13+'2026-OS CTPS NPA'!AJ13+'2026-OS CDB NPA'!AJ13</f>
        <v>0</v>
      </c>
      <c r="AK13" s="7">
        <f>NPA!AK13+NES!AK13+'2026-PKL NPA'!AK13+'2026- Harian NES'!AK13+'2026-Harian NPA'!AK13+'2026-LPK MKS NPA'!AK13+'2026-LPK MKM NPA'!AK13+'2026-LPK DKP NPA '!AK13+'2026-LPK CTPS NPA'!AK13+'2026-LPK CDB NPA'!AK13+'2026-OS CTPS NPA'!AK13+'2026-OS CDB NPA'!AK13</f>
        <v>0</v>
      </c>
      <c r="AL13" s="11" t="e">
        <f t="shared" si="16"/>
        <v>#DIV/0!</v>
      </c>
      <c r="AM13" s="11" t="e">
        <f t="shared" si="17"/>
        <v>#DIV/0!</v>
      </c>
      <c r="AN13" s="7">
        <f>NPA!AN13+NES!AN13+'2026-PKL NPA'!AN13+'2026- Harian NES'!AN13+'2026-Harian NPA'!AN13+'2026-LPK MKS NPA'!AN13+'2026-LPK MKM NPA'!AN13+'2026-LPK DKP NPA '!AN13+'2026-LPK CTPS NPA'!AN13+'2026-LPK CDB NPA'!AN13+'2026-OS CTPS NPA'!AN13+'2026-OS CDB NPA'!AN13</f>
        <v>0</v>
      </c>
      <c r="AO13" s="7">
        <f>NPA!AO13+NES!AO13+'2026-PKL NPA'!AO13+'2026- Harian NES'!AO13+'2026-Harian NPA'!AO13+'2026-LPK MKS NPA'!AO13+'2026-LPK MKM NPA'!AO13+'2026-LPK DKP NPA '!AO13+'2026-LPK CTPS NPA'!AO13+'2026-LPK CDB NPA'!AO13+'2026-OS CTPS NPA'!AO13+'2026-OS CDB NPA'!AO13</f>
        <v>0</v>
      </c>
      <c r="AP13" s="11" t="e">
        <f t="shared" si="18"/>
        <v>#DIV/0!</v>
      </c>
      <c r="AQ13" s="11" t="e">
        <f t="shared" si="19"/>
        <v>#DIV/0!</v>
      </c>
      <c r="AR13" s="7">
        <f>NPA!AR13+NES!AR13+'2026-PKL NPA'!AR13+'2026- Harian NES'!AR13+'2026-Harian NPA'!AR13+'2026-LPK MKS NPA'!AR13+'2026-LPK MKM NPA'!AR13+'2026-LPK DKP NPA '!AR13+'2026-LPK CTPS NPA'!AR13+'2026-LPK CDB NPA'!AR13+'2026-OS CTPS NPA'!AR13+'2026-OS CDB NPA'!AR13</f>
        <v>0</v>
      </c>
      <c r="AS13" s="7">
        <f>NPA!AS13+NES!AS13+'2026-PKL NPA'!AS13+'2026- Harian NES'!AS13+'2026-Harian NPA'!AS13+'2026-LPK MKS NPA'!AS13+'2026-LPK MKM NPA'!AS13+'2026-LPK DKP NPA '!AS13+'2026-LPK CTPS NPA'!AS13+'2026-LPK CDB NPA'!AS13+'2026-OS CTPS NPA'!AS13+'2026-OS CDB NPA'!AS13</f>
        <v>0</v>
      </c>
      <c r="AT13" s="11" t="e">
        <f t="shared" si="20"/>
        <v>#DIV/0!</v>
      </c>
      <c r="AU13" s="11" t="e">
        <f t="shared" si="21"/>
        <v>#DIV/0!</v>
      </c>
      <c r="AV13" s="7">
        <f>NPA!AV13+NES!AV13+'2026-PKL NPA'!AV13+'2026- Harian NES'!AV13+'2026-Harian NPA'!AV13+'2026-LPK MKS NPA'!AV13+'2026-LPK MKM NPA'!AV13+'2026-LPK DKP NPA '!AV13+'2026-LPK CTPS NPA'!AV13+'2026-LPK CDB NPA'!AV13+'2026-OS CTPS NPA'!AV13+'2026-OS CDB NPA'!AV13</f>
        <v>0</v>
      </c>
      <c r="AW13" s="7">
        <f>NPA!AW13+NES!AW13+'2026-PKL NPA'!AW13+'2026- Harian NES'!AW13+'2026-Harian NPA'!AW13+'2026-LPK MKS NPA'!AW13+'2026-LPK MKM NPA'!AW13+'2026-LPK DKP NPA '!AW13+'2026-LPK CTPS NPA'!AW13+'2026-LPK CDB NPA'!AW13+'2026-OS CTPS NPA'!AW13+'2026-OS CDB NPA'!AW13</f>
        <v>0</v>
      </c>
      <c r="AX13" s="11" t="e">
        <f t="shared" si="22"/>
        <v>#DIV/0!</v>
      </c>
      <c r="AY13" s="11" t="e">
        <f t="shared" si="23"/>
        <v>#DIV/0!</v>
      </c>
      <c r="AZ13" s="19"/>
      <c r="BA13" s="11" t="e">
        <f t="shared" si="27"/>
        <v>#DIV/0!</v>
      </c>
      <c r="BB13" s="11" t="e">
        <f t="shared" si="24"/>
        <v>#DIV/0!</v>
      </c>
      <c r="BC13" s="63">
        <f t="shared" si="28"/>
        <v>412227418</v>
      </c>
      <c r="BD13" s="63">
        <f t="shared" si="25"/>
        <v>0</v>
      </c>
      <c r="BE13" s="63">
        <f t="shared" si="29"/>
        <v>0</v>
      </c>
      <c r="BF13" s="63">
        <f t="shared" si="30"/>
        <v>0</v>
      </c>
    </row>
    <row r="14" spans="2:58" x14ac:dyDescent="0.35">
      <c r="B14" s="3">
        <f t="shared" si="31"/>
        <v>8</v>
      </c>
      <c r="C14" s="3" t="s">
        <v>21</v>
      </c>
      <c r="D14" s="7">
        <f>NPA!D14+NES!D14+'2026-PKL NPA'!D14+'2026- Harian NES'!D14+'2026-Harian NPA'!D14+'2026-LPK MKS NPA'!D14+'2026-LPK MKM NPA'!D14+'2026-LPK DKP NPA '!D14+'2026-LPK CTPS NPA'!D14+'2026-LPK CDB NPA'!D14+'2026-OS CTPS NPA'!D14+'2026-OS CDB NPA'!D14</f>
        <v>14</v>
      </c>
      <c r="E14" s="7">
        <f>NPA!E14+NES!E14+'2026-PKL NPA'!E14+'2026- Harian NES'!E14+'2026-Harian NPA'!E14+'2026-LPK MKS NPA'!E14+'2026-LPK MKM NPA'!E14+'2026-LPK DKP NPA '!E14+'2026-LPK CTPS NPA'!E14+'2026-LPK CDB NPA'!E14+'2026-OS CTPS NPA'!E14+'2026-OS CDB NPA'!E14</f>
        <v>108270782</v>
      </c>
      <c r="F14" s="11">
        <f t="shared" si="0"/>
        <v>4.3076923076923075E-2</v>
      </c>
      <c r="G14" s="11">
        <f t="shared" si="1"/>
        <v>4.3348696896855561E-2</v>
      </c>
      <c r="H14" s="7">
        <f>NPA!H14+NES!H14+'2026-PKL NPA'!H14+'2026- Harian NES'!H14+'2026-Harian NPA'!H14+'2026-LPK MKS NPA'!H14+'2026-LPK MKM NPA'!H14+'2026-LPK DKP NPA '!H14+'2026-LPK CTPS NPA'!H14+'2026-LPK CDB NPA'!H14+'2026-OS CTPS NPA'!H14+'2026-OS CDB NPA'!H14</f>
        <v>14</v>
      </c>
      <c r="I14" s="7">
        <f>NPA!I14+NES!I14+'2026-PKL NPA'!I14+'2026- Harian NES'!I14+'2026-Harian NPA'!I14+'2026-LPK MKS NPA'!I14+'2026-LPK MKM NPA'!I14+'2026-LPK DKP NPA '!I14+'2026-LPK CTPS NPA'!I14+'2026-LPK CDB NPA'!I14+'2026-OS CTPS NPA'!I14+'2026-OS CDB NPA'!I14</f>
        <v>106249244</v>
      </c>
      <c r="J14" s="11">
        <f t="shared" si="2"/>
        <v>4.5016077170418008E-2</v>
      </c>
      <c r="K14" s="11">
        <f t="shared" si="3"/>
        <v>4.5638372209883794E-2</v>
      </c>
      <c r="L14" s="7">
        <f>NPA!L14+NES!L14+'2026-PKL NPA'!L14+'2026- Harian NES'!L14+'2026-Harian NPA'!L14+'2026-LPK MKS NPA'!L14+'2026-LPK MKM NPA'!L14+'2026-LPK DKP NPA '!L14+'2026-LPK CTPS NPA'!L14+'2026-LPK CDB NPA'!L14+'2026-OS CTPS NPA'!L14+'2026-OS CDB NPA'!L14</f>
        <v>13</v>
      </c>
      <c r="M14" s="7">
        <f>NPA!M14+NES!M14+'2026-PKL NPA'!M14+'2026- Harian NES'!M14+'2026-Harian NPA'!M14+'2026-LPK MKS NPA'!M14+'2026-LPK MKM NPA'!M14+'2026-LPK DKP NPA '!M14+'2026-LPK CTPS NPA'!M14+'2026-LPK CDB NPA'!M14+'2026-OS CTPS NPA'!M14+'2026-OS CDB NPA'!M14</f>
        <v>96233945</v>
      </c>
      <c r="N14" s="11">
        <f t="shared" si="4"/>
        <v>4.1800643086816719E-2</v>
      </c>
      <c r="O14" s="11">
        <f t="shared" si="5"/>
        <v>4.4373423246652416E-2</v>
      </c>
      <c r="P14" s="7">
        <f>NPA!P14+NES!P14+'2026-PKL NPA'!P14+'2026- Harian NES'!P14+'2026-Harian NPA'!P14+'2026-LPK MKS NPA'!P14+'2026-LPK MKM NPA'!P14+'2026-LPK DKP NPA '!P14+'2026-LPK CTPS NPA'!P14+'2026-LPK CDB NPA'!P14+'2026-OS CTPS NPA'!P14+'2026-OS CDB NPA'!P14</f>
        <v>0</v>
      </c>
      <c r="Q14" s="7">
        <f>NPA!Q14+NES!Q14+'2026-PKL NPA'!Q14+'2026- Harian NES'!Q14+'2026-Harian NPA'!Q14+'2026-LPK MKS NPA'!Q14+'2026-LPK MKM NPA'!Q14+'2026-LPK DKP NPA '!Q14+'2026-LPK CTPS NPA'!Q14+'2026-LPK CDB NPA'!Q14+'2026-OS CTPS NPA'!Q14+'2026-OS CDB NPA'!Q14</f>
        <v>0</v>
      </c>
      <c r="R14" s="11" t="e">
        <f t="shared" si="6"/>
        <v>#DIV/0!</v>
      </c>
      <c r="S14" s="11" t="e">
        <f t="shared" si="7"/>
        <v>#DIV/0!</v>
      </c>
      <c r="T14" s="7">
        <f>NPA!T14+NES!T14+'2026-PKL NPA'!T14+'2026- Harian NES'!T14+'2026-Harian NPA'!T14+'2026-LPK MKS NPA'!T14+'2026-LPK MKM NPA'!T14+'2026-LPK DKP NPA '!T14+'2026-LPK CTPS NPA'!T14+'2026-LPK CDB NPA'!T14+'2026-OS CTPS NPA'!T14+'2026-OS CDB NPA'!T14</f>
        <v>0</v>
      </c>
      <c r="U14" s="7">
        <f>NPA!U14+NES!U14+'2026-PKL NPA'!U14+'2026- Harian NES'!U14+'2026-Harian NPA'!U14+'2026-LPK MKS NPA'!U14+'2026-LPK MKM NPA'!U14+'2026-LPK DKP NPA '!U14+'2026-LPK CTPS NPA'!U14+'2026-LPK CDB NPA'!U14+'2026-OS CTPS NPA'!U14+'2026-OS CDB NPA'!U14</f>
        <v>0</v>
      </c>
      <c r="V14" s="11" t="e">
        <f t="shared" si="8"/>
        <v>#DIV/0!</v>
      </c>
      <c r="W14" s="11" t="e">
        <f t="shared" si="9"/>
        <v>#DIV/0!</v>
      </c>
      <c r="X14" s="7">
        <f>NPA!X14+NES!X14+'2026-PKL NPA'!X14+'2026- Harian NES'!X14+'2026-Harian NPA'!X14+'2026-LPK MKS NPA'!X14+'2026-LPK MKM NPA'!X14+'2026-LPK DKP NPA '!X14+'2026-LPK CTPS NPA'!X14+'2026-LPK CDB NPA'!X14+'2026-OS CTPS NPA'!X14+'2026-OS CDB NPA'!X14</f>
        <v>0</v>
      </c>
      <c r="Y14" s="7">
        <f>NPA!Y14+NES!Y14+'2026-PKL NPA'!Y14+'2026- Harian NES'!Y14+'2026-Harian NPA'!Y14+'2026-LPK MKS NPA'!Y14+'2026-LPK MKM NPA'!Y14+'2026-LPK DKP NPA '!Y14+'2026-LPK CTPS NPA'!Y14+'2026-LPK CDB NPA'!Y14+'2026-OS CTPS NPA'!Y14+'2026-OS CDB NPA'!Y14</f>
        <v>0</v>
      </c>
      <c r="Z14" s="11" t="e">
        <f t="shared" si="10"/>
        <v>#DIV/0!</v>
      </c>
      <c r="AA14" s="11" t="e">
        <f t="shared" si="11"/>
        <v>#DIV/0!</v>
      </c>
      <c r="AB14" s="7">
        <f>NPA!AB14+NES!AB14+'2026-PKL NPA'!AB14+'2026- Harian NES'!AB14+'2026-Harian NPA'!AB14+'2026-LPK MKS NPA'!AB14+'2026-LPK MKM NPA'!AB14+'2026-LPK DKP NPA '!AB14+'2026-LPK CTPS NPA'!AB14+'2026-LPK CDB NPA'!AB14+'2026-OS CTPS NPA'!AB14+'2026-OS CDB NPA'!AB14</f>
        <v>0</v>
      </c>
      <c r="AC14" s="7">
        <f>NPA!AC14+NES!AC14+'2026-PKL NPA'!AC14+'2026- Harian NES'!AC14+'2026-Harian NPA'!AC14+'2026-LPK MKS NPA'!AC14+'2026-LPK MKM NPA'!AC14+'2026-LPK DKP NPA '!AC14+'2026-LPK CTPS NPA'!AC14+'2026-LPK CDB NPA'!AC14+'2026-OS CTPS NPA'!AC14+'2026-OS CDB NPA'!AC14</f>
        <v>0</v>
      </c>
      <c r="AD14" s="11" t="e">
        <f t="shared" si="12"/>
        <v>#DIV/0!</v>
      </c>
      <c r="AE14" s="11" t="e">
        <f t="shared" si="13"/>
        <v>#DIV/0!</v>
      </c>
      <c r="AF14" s="7">
        <f>NPA!AF14+NES!AF14+'2026-PKL NPA'!AF14+'2026- Harian NES'!AF14+'2026-Harian NPA'!AF14+'2026-LPK MKS NPA'!AF14+'2026-LPK MKM NPA'!AF14+'2026-LPK DKP NPA '!AF14+'2026-LPK CTPS NPA'!AF14+'2026-LPK CDB NPA'!AF14+'2026-OS CTPS NPA'!AF14+'2026-OS CDB NPA'!AF14</f>
        <v>0</v>
      </c>
      <c r="AG14" s="7">
        <f>NPA!AG14+NES!AG14+'2026-PKL NPA'!AG14+'2026- Harian NES'!AG14+'2026-Harian NPA'!AG14+'2026-LPK MKS NPA'!AG14+'2026-LPK MKM NPA'!AG14+'2026-LPK DKP NPA '!AG14+'2026-LPK CTPS NPA'!AG14+'2026-LPK CDB NPA'!AG14+'2026-OS CTPS NPA'!AG14+'2026-OS CDB NPA'!AG14</f>
        <v>0</v>
      </c>
      <c r="AH14" s="11" t="e">
        <f t="shared" si="14"/>
        <v>#DIV/0!</v>
      </c>
      <c r="AI14" s="11" t="e">
        <f t="shared" si="15"/>
        <v>#DIV/0!</v>
      </c>
      <c r="AJ14" s="7">
        <f>NPA!AJ14+NES!AJ14+'2026-PKL NPA'!AJ14+'2026- Harian NES'!AJ14+'2026-Harian NPA'!AJ14+'2026-LPK MKS NPA'!AJ14+'2026-LPK MKM NPA'!AJ14+'2026-LPK DKP NPA '!AJ14+'2026-LPK CTPS NPA'!AJ14+'2026-LPK CDB NPA'!AJ14+'2026-OS CTPS NPA'!AJ14+'2026-OS CDB NPA'!AJ14</f>
        <v>0</v>
      </c>
      <c r="AK14" s="7">
        <f>NPA!AK14+NES!AK14+'2026-PKL NPA'!AK14+'2026- Harian NES'!AK14+'2026-Harian NPA'!AK14+'2026-LPK MKS NPA'!AK14+'2026-LPK MKM NPA'!AK14+'2026-LPK DKP NPA '!AK14+'2026-LPK CTPS NPA'!AK14+'2026-LPK CDB NPA'!AK14+'2026-OS CTPS NPA'!AK14+'2026-OS CDB NPA'!AK14</f>
        <v>0</v>
      </c>
      <c r="AL14" s="11" t="e">
        <f t="shared" si="16"/>
        <v>#DIV/0!</v>
      </c>
      <c r="AM14" s="11" t="e">
        <f t="shared" si="17"/>
        <v>#DIV/0!</v>
      </c>
      <c r="AN14" s="7">
        <f>NPA!AN14+NES!AN14+'2026-PKL NPA'!AN14+'2026- Harian NES'!AN14+'2026-Harian NPA'!AN14+'2026-LPK MKS NPA'!AN14+'2026-LPK MKM NPA'!AN14+'2026-LPK DKP NPA '!AN14+'2026-LPK CTPS NPA'!AN14+'2026-LPK CDB NPA'!AN14+'2026-OS CTPS NPA'!AN14+'2026-OS CDB NPA'!AN14</f>
        <v>0</v>
      </c>
      <c r="AO14" s="7">
        <f>NPA!AO14+NES!AO14+'2026-PKL NPA'!AO14+'2026- Harian NES'!AO14+'2026-Harian NPA'!AO14+'2026-LPK MKS NPA'!AO14+'2026-LPK MKM NPA'!AO14+'2026-LPK DKP NPA '!AO14+'2026-LPK CTPS NPA'!AO14+'2026-LPK CDB NPA'!AO14+'2026-OS CTPS NPA'!AO14+'2026-OS CDB NPA'!AO14</f>
        <v>0</v>
      </c>
      <c r="AP14" s="11" t="e">
        <f t="shared" si="18"/>
        <v>#DIV/0!</v>
      </c>
      <c r="AQ14" s="11" t="e">
        <f t="shared" si="19"/>
        <v>#DIV/0!</v>
      </c>
      <c r="AR14" s="7">
        <f>NPA!AR14+NES!AR14+'2026-PKL NPA'!AR14+'2026- Harian NES'!AR14+'2026-Harian NPA'!AR14+'2026-LPK MKS NPA'!AR14+'2026-LPK MKM NPA'!AR14+'2026-LPK DKP NPA '!AR14+'2026-LPK CTPS NPA'!AR14+'2026-LPK CDB NPA'!AR14+'2026-OS CTPS NPA'!AR14+'2026-OS CDB NPA'!AR14</f>
        <v>0</v>
      </c>
      <c r="AS14" s="7">
        <f>NPA!AS14+NES!AS14+'2026-PKL NPA'!AS14+'2026- Harian NES'!AS14+'2026-Harian NPA'!AS14+'2026-LPK MKS NPA'!AS14+'2026-LPK MKM NPA'!AS14+'2026-LPK DKP NPA '!AS14+'2026-LPK CTPS NPA'!AS14+'2026-LPK CDB NPA'!AS14+'2026-OS CTPS NPA'!AS14+'2026-OS CDB NPA'!AS14</f>
        <v>0</v>
      </c>
      <c r="AT14" s="11" t="e">
        <f t="shared" si="20"/>
        <v>#DIV/0!</v>
      </c>
      <c r="AU14" s="11" t="e">
        <f t="shared" si="21"/>
        <v>#DIV/0!</v>
      </c>
      <c r="AV14" s="7">
        <f>NPA!AV14+NES!AV14+'2026-PKL NPA'!AV14+'2026- Harian NES'!AV14+'2026-Harian NPA'!AV14+'2026-LPK MKS NPA'!AV14+'2026-LPK MKM NPA'!AV14+'2026-LPK DKP NPA '!AV14+'2026-LPK CTPS NPA'!AV14+'2026-LPK CDB NPA'!AV14+'2026-OS CTPS NPA'!AV14+'2026-OS CDB NPA'!AV14</f>
        <v>0</v>
      </c>
      <c r="AW14" s="7">
        <f>NPA!AW14+NES!AW14+'2026-PKL NPA'!AW14+'2026- Harian NES'!AW14+'2026-Harian NPA'!AW14+'2026-LPK MKS NPA'!AW14+'2026-LPK MKM NPA'!AW14+'2026-LPK DKP NPA '!AW14+'2026-LPK CTPS NPA'!AW14+'2026-LPK CDB NPA'!AW14+'2026-OS CTPS NPA'!AW14+'2026-OS CDB NPA'!AW14</f>
        <v>0</v>
      </c>
      <c r="AX14" s="11" t="e">
        <f t="shared" si="22"/>
        <v>#DIV/0!</v>
      </c>
      <c r="AY14" s="11" t="e">
        <f t="shared" si="23"/>
        <v>#DIV/0!</v>
      </c>
      <c r="AZ14" s="19">
        <f t="shared" ref="AZ14:AZ22" si="32">E14+I14+M14+Q14+U14+Y14+AC14+AG14+AK14+AO14+AS14+AW14</f>
        <v>310753971</v>
      </c>
      <c r="BA14" s="11" t="e">
        <f t="shared" si="27"/>
        <v>#DIV/0!</v>
      </c>
      <c r="BB14" s="11" t="e">
        <f t="shared" si="24"/>
        <v>#DIV/0!</v>
      </c>
      <c r="BC14" s="63">
        <f t="shared" si="28"/>
        <v>310753971</v>
      </c>
      <c r="BD14" s="63">
        <f t="shared" si="25"/>
        <v>0</v>
      </c>
      <c r="BE14" s="63">
        <f t="shared" si="29"/>
        <v>0</v>
      </c>
      <c r="BF14" s="63">
        <f t="shared" si="30"/>
        <v>0</v>
      </c>
    </row>
    <row r="15" spans="2:58" x14ac:dyDescent="0.35">
      <c r="B15" s="3">
        <f t="shared" si="31"/>
        <v>9</v>
      </c>
      <c r="C15" s="3" t="s">
        <v>22</v>
      </c>
      <c r="D15" s="7">
        <f>NPA!D15+NES!D15+'2026-PKL NPA'!D15+'2026- Harian NES'!D15+'2026-Harian NPA'!D15+'2026-LPK MKS NPA'!D15+'2026-LPK MKM NPA'!D15+'2026-LPK DKP NPA '!D15+'2026-LPK CTPS NPA'!D15+'2026-LPK CDB NPA'!D15+'2026-OS CTPS NPA'!D15+'2026-OS CDB NPA'!D15</f>
        <v>5</v>
      </c>
      <c r="E15" s="7">
        <f>NPA!E15+NES!E15+'2026-PKL NPA'!E15+'2026- Harian NES'!E15+'2026-Harian NPA'!E15+'2026-LPK MKS NPA'!E15+'2026-LPK MKM NPA'!E15+'2026-LPK DKP NPA '!E15+'2026-LPK CTPS NPA'!E15+'2026-LPK CDB NPA'!E15+'2026-OS CTPS NPA'!E15+'2026-OS CDB NPA'!E15</f>
        <v>51796167</v>
      </c>
      <c r="F15" s="11">
        <f t="shared" si="0"/>
        <v>1.5384615384615385E-2</v>
      </c>
      <c r="G15" s="11">
        <f t="shared" si="1"/>
        <v>2.0737786337424922E-2</v>
      </c>
      <c r="H15" s="7">
        <f>NPA!H15+NES!H15+'2026-PKL NPA'!H15+'2026- Harian NES'!H15+'2026-Harian NPA'!H15+'2026-LPK MKS NPA'!H15+'2026-LPK MKM NPA'!H15+'2026-LPK DKP NPA '!H15+'2026-LPK CTPS NPA'!H15+'2026-LPK CDB NPA'!H15+'2026-OS CTPS NPA'!H15+'2026-OS CDB NPA'!H15</f>
        <v>6</v>
      </c>
      <c r="I15" s="7">
        <f>NPA!I15+NES!I15+'2026-PKL NPA'!I15+'2026- Harian NES'!I15+'2026-Harian NPA'!I15+'2026-LPK MKS NPA'!I15+'2026-LPK MKM NPA'!I15+'2026-LPK DKP NPA '!I15+'2026-LPK CTPS NPA'!I15+'2026-LPK CDB NPA'!I15+'2026-OS CTPS NPA'!I15+'2026-OS CDB NPA'!I15</f>
        <v>49724941</v>
      </c>
      <c r="J15" s="11">
        <f t="shared" si="2"/>
        <v>1.9292604501607719E-2</v>
      </c>
      <c r="K15" s="11">
        <f t="shared" si="3"/>
        <v>2.1358884826253553E-2</v>
      </c>
      <c r="L15" s="7">
        <f>NPA!L15+NES!L15+'2026-PKL NPA'!L15+'2026- Harian NES'!L15+'2026-Harian NPA'!L15+'2026-LPK MKS NPA'!L15+'2026-LPK MKM NPA'!L15+'2026-LPK DKP NPA '!L15+'2026-LPK CTPS NPA'!L15+'2026-LPK CDB NPA'!L15+'2026-OS CTPS NPA'!L15+'2026-OS CDB NPA'!L15</f>
        <v>6</v>
      </c>
      <c r="M15" s="7">
        <f>NPA!M15+NES!M15+'2026-PKL NPA'!M15+'2026- Harian NES'!M15+'2026-Harian NPA'!M15+'2026-LPK MKS NPA'!M15+'2026-LPK MKM NPA'!M15+'2026-LPK DKP NPA '!M15+'2026-LPK CTPS NPA'!M15+'2026-LPK CDB NPA'!M15+'2026-OS CTPS NPA'!M15+'2026-OS CDB NPA'!M15</f>
        <v>47324621</v>
      </c>
      <c r="N15" s="11">
        <f t="shared" si="4"/>
        <v>1.9292604501607719E-2</v>
      </c>
      <c r="O15" s="11">
        <f t="shared" si="5"/>
        <v>2.1821358748416841E-2</v>
      </c>
      <c r="P15" s="7">
        <f>NPA!P15+NES!P15+'2026-PKL NPA'!P15+'2026- Harian NES'!P15+'2026-Harian NPA'!P15+'2026-LPK MKS NPA'!P15+'2026-LPK MKM NPA'!P15+'2026-LPK DKP NPA '!P15+'2026-LPK CTPS NPA'!P15+'2026-LPK CDB NPA'!P15+'2026-OS CTPS NPA'!P15+'2026-OS CDB NPA'!P15</f>
        <v>0</v>
      </c>
      <c r="Q15" s="7">
        <f>NPA!Q15+NES!Q15+'2026-PKL NPA'!Q15+'2026- Harian NES'!Q15+'2026-Harian NPA'!Q15+'2026-LPK MKS NPA'!Q15+'2026-LPK MKM NPA'!Q15+'2026-LPK DKP NPA '!Q15+'2026-LPK CTPS NPA'!Q15+'2026-LPK CDB NPA'!Q15+'2026-OS CTPS NPA'!Q15+'2026-OS CDB NPA'!Q15</f>
        <v>0</v>
      </c>
      <c r="R15" s="11" t="e">
        <f t="shared" si="6"/>
        <v>#DIV/0!</v>
      </c>
      <c r="S15" s="11" t="e">
        <f t="shared" si="7"/>
        <v>#DIV/0!</v>
      </c>
      <c r="T15" s="7">
        <f>NPA!T15+NES!T15+'2026-PKL NPA'!T15+'2026- Harian NES'!T15+'2026-Harian NPA'!T15+'2026-LPK MKS NPA'!T15+'2026-LPK MKM NPA'!T15+'2026-LPK DKP NPA '!T15+'2026-LPK CTPS NPA'!T15+'2026-LPK CDB NPA'!T15+'2026-OS CTPS NPA'!T15+'2026-OS CDB NPA'!T15</f>
        <v>0</v>
      </c>
      <c r="U15" s="7">
        <f>NPA!U15+NES!U15+'2026-PKL NPA'!U15+'2026- Harian NES'!U15+'2026-Harian NPA'!U15+'2026-LPK MKS NPA'!U15+'2026-LPK MKM NPA'!U15+'2026-LPK DKP NPA '!U15+'2026-LPK CTPS NPA'!U15+'2026-LPK CDB NPA'!U15+'2026-OS CTPS NPA'!U15+'2026-OS CDB NPA'!U15</f>
        <v>0</v>
      </c>
      <c r="V15" s="11" t="e">
        <f t="shared" si="8"/>
        <v>#DIV/0!</v>
      </c>
      <c r="W15" s="11" t="e">
        <f t="shared" si="9"/>
        <v>#DIV/0!</v>
      </c>
      <c r="X15" s="7">
        <f>NPA!X15+NES!X15+'2026-PKL NPA'!X15+'2026- Harian NES'!X15+'2026-Harian NPA'!X15+'2026-LPK MKS NPA'!X15+'2026-LPK MKM NPA'!X15+'2026-LPK DKP NPA '!X15+'2026-LPK CTPS NPA'!X15+'2026-LPK CDB NPA'!X15+'2026-OS CTPS NPA'!X15+'2026-OS CDB NPA'!X15</f>
        <v>0</v>
      </c>
      <c r="Y15" s="7">
        <f>NPA!Y15+NES!Y15+'2026-PKL NPA'!Y15+'2026- Harian NES'!Y15+'2026-Harian NPA'!Y15+'2026-LPK MKS NPA'!Y15+'2026-LPK MKM NPA'!Y15+'2026-LPK DKP NPA '!Y15+'2026-LPK CTPS NPA'!Y15+'2026-LPK CDB NPA'!Y15+'2026-OS CTPS NPA'!Y15+'2026-OS CDB NPA'!Y15</f>
        <v>0</v>
      </c>
      <c r="Z15" s="11" t="e">
        <f t="shared" si="10"/>
        <v>#DIV/0!</v>
      </c>
      <c r="AA15" s="11" t="e">
        <f t="shared" si="11"/>
        <v>#DIV/0!</v>
      </c>
      <c r="AB15" s="7">
        <f>NPA!AB15+NES!AB15+'2026-PKL NPA'!AB15+'2026- Harian NES'!AB15+'2026-Harian NPA'!AB15+'2026-LPK MKS NPA'!AB15+'2026-LPK MKM NPA'!AB15+'2026-LPK DKP NPA '!AB15+'2026-LPK CTPS NPA'!AB15+'2026-LPK CDB NPA'!AB15+'2026-OS CTPS NPA'!AB15+'2026-OS CDB NPA'!AB15</f>
        <v>0</v>
      </c>
      <c r="AC15" s="7">
        <f>NPA!AC15+NES!AC15+'2026-PKL NPA'!AC15+'2026- Harian NES'!AC15+'2026-Harian NPA'!AC15+'2026-LPK MKS NPA'!AC15+'2026-LPK MKM NPA'!AC15+'2026-LPK DKP NPA '!AC15+'2026-LPK CTPS NPA'!AC15+'2026-LPK CDB NPA'!AC15+'2026-OS CTPS NPA'!AC15+'2026-OS CDB NPA'!AC15</f>
        <v>0</v>
      </c>
      <c r="AD15" s="11" t="e">
        <f t="shared" si="12"/>
        <v>#DIV/0!</v>
      </c>
      <c r="AE15" s="11" t="e">
        <f t="shared" si="13"/>
        <v>#DIV/0!</v>
      </c>
      <c r="AF15" s="7">
        <f>NPA!AF15+NES!AF15+'2026-PKL NPA'!AF15+'2026- Harian NES'!AF15+'2026-Harian NPA'!AF15+'2026-LPK MKS NPA'!AF15+'2026-LPK MKM NPA'!AF15+'2026-LPK DKP NPA '!AF15+'2026-LPK CTPS NPA'!AF15+'2026-LPK CDB NPA'!AF15+'2026-OS CTPS NPA'!AF15+'2026-OS CDB NPA'!AF15</f>
        <v>0</v>
      </c>
      <c r="AG15" s="7">
        <f>NPA!AG15+NES!AG15+'2026-PKL NPA'!AG15+'2026- Harian NES'!AG15+'2026-Harian NPA'!AG15+'2026-LPK MKS NPA'!AG15+'2026-LPK MKM NPA'!AG15+'2026-LPK DKP NPA '!AG15+'2026-LPK CTPS NPA'!AG15+'2026-LPK CDB NPA'!AG15+'2026-OS CTPS NPA'!AG15+'2026-OS CDB NPA'!AG15</f>
        <v>0</v>
      </c>
      <c r="AH15" s="11" t="e">
        <f t="shared" si="14"/>
        <v>#DIV/0!</v>
      </c>
      <c r="AI15" s="11" t="e">
        <f t="shared" si="15"/>
        <v>#DIV/0!</v>
      </c>
      <c r="AJ15" s="7">
        <f>NPA!AJ15+NES!AJ15+'2026-PKL NPA'!AJ15+'2026- Harian NES'!AJ15+'2026-Harian NPA'!AJ15+'2026-LPK MKS NPA'!AJ15+'2026-LPK MKM NPA'!AJ15+'2026-LPK DKP NPA '!AJ15+'2026-LPK CTPS NPA'!AJ15+'2026-LPK CDB NPA'!AJ15+'2026-OS CTPS NPA'!AJ15+'2026-OS CDB NPA'!AJ15</f>
        <v>0</v>
      </c>
      <c r="AK15" s="7">
        <f>NPA!AK15+NES!AK15+'2026-PKL NPA'!AK15+'2026- Harian NES'!AK15+'2026-Harian NPA'!AK15+'2026-LPK MKS NPA'!AK15+'2026-LPK MKM NPA'!AK15+'2026-LPK DKP NPA '!AK15+'2026-LPK CTPS NPA'!AK15+'2026-LPK CDB NPA'!AK15+'2026-OS CTPS NPA'!AK15+'2026-OS CDB NPA'!AK15</f>
        <v>0</v>
      </c>
      <c r="AL15" s="11" t="e">
        <f t="shared" si="16"/>
        <v>#DIV/0!</v>
      </c>
      <c r="AM15" s="11" t="e">
        <f t="shared" si="17"/>
        <v>#DIV/0!</v>
      </c>
      <c r="AN15" s="7">
        <f>NPA!AN15+NES!AN15+'2026-PKL NPA'!AN15+'2026- Harian NES'!AN15+'2026-Harian NPA'!AN15+'2026-LPK MKS NPA'!AN15+'2026-LPK MKM NPA'!AN15+'2026-LPK DKP NPA '!AN15+'2026-LPK CTPS NPA'!AN15+'2026-LPK CDB NPA'!AN15+'2026-OS CTPS NPA'!AN15+'2026-OS CDB NPA'!AN15</f>
        <v>0</v>
      </c>
      <c r="AO15" s="7">
        <f>NPA!AO15+NES!AO15+'2026-PKL NPA'!AO15+'2026- Harian NES'!AO15+'2026-Harian NPA'!AO15+'2026-LPK MKS NPA'!AO15+'2026-LPK MKM NPA'!AO15+'2026-LPK DKP NPA '!AO15+'2026-LPK CTPS NPA'!AO15+'2026-LPK CDB NPA'!AO15+'2026-OS CTPS NPA'!AO15+'2026-OS CDB NPA'!AO15</f>
        <v>0</v>
      </c>
      <c r="AP15" s="11" t="e">
        <f t="shared" si="18"/>
        <v>#DIV/0!</v>
      </c>
      <c r="AQ15" s="11" t="e">
        <f t="shared" si="19"/>
        <v>#DIV/0!</v>
      </c>
      <c r="AR15" s="7">
        <f>NPA!AR15+NES!AR15+'2026-PKL NPA'!AR15+'2026- Harian NES'!AR15+'2026-Harian NPA'!AR15+'2026-LPK MKS NPA'!AR15+'2026-LPK MKM NPA'!AR15+'2026-LPK DKP NPA '!AR15+'2026-LPK CTPS NPA'!AR15+'2026-LPK CDB NPA'!AR15+'2026-OS CTPS NPA'!AR15+'2026-OS CDB NPA'!AR15</f>
        <v>0</v>
      </c>
      <c r="AS15" s="7">
        <f>NPA!AS15+NES!AS15+'2026-PKL NPA'!AS15+'2026- Harian NES'!AS15+'2026-Harian NPA'!AS15+'2026-LPK MKS NPA'!AS15+'2026-LPK MKM NPA'!AS15+'2026-LPK DKP NPA '!AS15+'2026-LPK CTPS NPA'!AS15+'2026-LPK CDB NPA'!AS15+'2026-OS CTPS NPA'!AS15+'2026-OS CDB NPA'!AS15</f>
        <v>0</v>
      </c>
      <c r="AT15" s="11" t="e">
        <f t="shared" si="20"/>
        <v>#DIV/0!</v>
      </c>
      <c r="AU15" s="11" t="e">
        <f t="shared" si="21"/>
        <v>#DIV/0!</v>
      </c>
      <c r="AV15" s="7">
        <f>NPA!AV15+NES!AV15+'2026-PKL NPA'!AV15+'2026- Harian NES'!AV15+'2026-Harian NPA'!AV15+'2026-LPK MKS NPA'!AV15+'2026-LPK MKM NPA'!AV15+'2026-LPK DKP NPA '!AV15+'2026-LPK CTPS NPA'!AV15+'2026-LPK CDB NPA'!AV15+'2026-OS CTPS NPA'!AV15+'2026-OS CDB NPA'!AV15</f>
        <v>0</v>
      </c>
      <c r="AW15" s="7">
        <f>NPA!AW15+NES!AW15+'2026-PKL NPA'!AW15+'2026- Harian NES'!AW15+'2026-Harian NPA'!AW15+'2026-LPK MKS NPA'!AW15+'2026-LPK MKM NPA'!AW15+'2026-LPK DKP NPA '!AW15+'2026-LPK CTPS NPA'!AW15+'2026-LPK CDB NPA'!AW15+'2026-OS CTPS NPA'!AW15+'2026-OS CDB NPA'!AW15</f>
        <v>0</v>
      </c>
      <c r="AX15" s="11" t="e">
        <f t="shared" si="22"/>
        <v>#DIV/0!</v>
      </c>
      <c r="AY15" s="11" t="e">
        <f t="shared" si="23"/>
        <v>#DIV/0!</v>
      </c>
      <c r="AZ15" s="19">
        <f t="shared" si="32"/>
        <v>148845729</v>
      </c>
      <c r="BA15" s="11" t="e">
        <f t="shared" si="27"/>
        <v>#DIV/0!</v>
      </c>
      <c r="BB15" s="11" t="e">
        <f t="shared" si="24"/>
        <v>#DIV/0!</v>
      </c>
      <c r="BC15" s="63">
        <f t="shared" si="28"/>
        <v>148845729</v>
      </c>
      <c r="BD15" s="63">
        <f t="shared" si="25"/>
        <v>0</v>
      </c>
      <c r="BE15" s="63">
        <f t="shared" si="29"/>
        <v>0</v>
      </c>
      <c r="BF15" s="63">
        <f t="shared" si="30"/>
        <v>0</v>
      </c>
    </row>
    <row r="16" spans="2:58" x14ac:dyDescent="0.35">
      <c r="B16" s="3">
        <f t="shared" si="31"/>
        <v>10</v>
      </c>
      <c r="C16" s="3" t="s">
        <v>29</v>
      </c>
      <c r="D16" s="7">
        <f>NPA!D16+NES!D16+'2026-PKL NPA'!D16+'2026- Harian NES'!D16+'2026-Harian NPA'!D16+'2026-LPK MKS NPA'!D16+'2026-LPK MKM NPA'!D16+'2026-LPK DKP NPA '!D16+'2026-LPK CTPS NPA'!D16+'2026-LPK CDB NPA'!D16+'2026-OS CTPS NPA'!D16+'2026-OS CDB NPA'!D16</f>
        <v>74</v>
      </c>
      <c r="E16" s="7">
        <f>NPA!E16+NES!E16+'2026-PKL NPA'!E16+'2026- Harian NES'!E16+'2026-Harian NPA'!E16+'2026-LPK MKS NPA'!E16+'2026-LPK MKM NPA'!E16+'2026-LPK DKP NPA '!E16+'2026-LPK CTPS NPA'!E16+'2026-LPK CDB NPA'!E16+'2026-OS CTPS NPA'!E16+'2026-OS CDB NPA'!E16</f>
        <v>501242825</v>
      </c>
      <c r="F16" s="11">
        <f t="shared" si="0"/>
        <v>0.22769230769230769</v>
      </c>
      <c r="G16" s="11">
        <f t="shared" si="1"/>
        <v>0.20068408938478541</v>
      </c>
      <c r="H16" s="7">
        <f>NPA!H16+NES!H16+'2026-PKL NPA'!H16+'2026- Harian NES'!H16+'2026-Harian NPA'!H16+'2026-LPK MKS NPA'!H16+'2026-LPK MKM NPA'!H16+'2026-LPK DKP NPA '!H16+'2026-LPK CTPS NPA'!H16+'2026-LPK CDB NPA'!H16+'2026-OS CTPS NPA'!H16+'2026-OS CDB NPA'!H16</f>
        <v>71</v>
      </c>
      <c r="I16" s="7">
        <f>NPA!I16+NES!I16+'2026-PKL NPA'!I16+'2026- Harian NES'!I16+'2026-Harian NPA'!I16+'2026-LPK MKS NPA'!I16+'2026-LPK MKM NPA'!I16+'2026-LPK DKP NPA '!I16+'2026-LPK CTPS NPA'!I16+'2026-LPK CDB NPA'!I16+'2026-OS CTPS NPA'!I16+'2026-OS CDB NPA'!I16</f>
        <v>472758217</v>
      </c>
      <c r="J16" s="11">
        <f t="shared" si="2"/>
        <v>0.22829581993569131</v>
      </c>
      <c r="K16" s="11">
        <f t="shared" si="3"/>
        <v>0.2030688846381534</v>
      </c>
      <c r="L16" s="7">
        <f>NPA!L16+NES!L16+'2026-PKL NPA'!L16+'2026- Harian NES'!L16+'2026-Harian NPA'!L16+'2026-LPK MKS NPA'!L16+'2026-LPK MKM NPA'!L16+'2026-LPK DKP NPA '!L16+'2026-LPK CTPS NPA'!L16+'2026-LPK CDB NPA'!L16+'2026-OS CTPS NPA'!L16+'2026-OS CDB NPA'!L16</f>
        <v>71</v>
      </c>
      <c r="M16" s="7">
        <f>NPA!M16+NES!M16+'2026-PKL NPA'!M16+'2026- Harian NES'!M16+'2026-Harian NPA'!M16+'2026-LPK MKS NPA'!M16+'2026-LPK MKM NPA'!M16+'2026-LPK DKP NPA '!M16+'2026-LPK CTPS NPA'!M16+'2026-LPK CDB NPA'!M16+'2026-OS CTPS NPA'!M16+'2026-OS CDB NPA'!M16</f>
        <v>414857313</v>
      </c>
      <c r="N16" s="11">
        <f t="shared" si="4"/>
        <v>0.22829581993569131</v>
      </c>
      <c r="O16" s="11">
        <f t="shared" si="5"/>
        <v>0.19129049668199674</v>
      </c>
      <c r="P16" s="7">
        <f>NPA!P16+NES!P16+'2026-PKL NPA'!P16+'2026- Harian NES'!P16+'2026-Harian NPA'!P16+'2026-LPK MKS NPA'!P16+'2026-LPK MKM NPA'!P16+'2026-LPK DKP NPA '!P16+'2026-LPK CTPS NPA'!P16+'2026-LPK CDB NPA'!P16+'2026-OS CTPS NPA'!P16+'2026-OS CDB NPA'!P16</f>
        <v>0</v>
      </c>
      <c r="Q16" s="7">
        <f>NPA!Q16+NES!Q16+'2026-PKL NPA'!Q16+'2026- Harian NES'!Q16+'2026-Harian NPA'!Q16+'2026-LPK MKS NPA'!Q16+'2026-LPK MKM NPA'!Q16+'2026-LPK DKP NPA '!Q16+'2026-LPK CTPS NPA'!Q16+'2026-LPK CDB NPA'!Q16+'2026-OS CTPS NPA'!Q16+'2026-OS CDB NPA'!Q16</f>
        <v>0</v>
      </c>
      <c r="R16" s="11" t="e">
        <f t="shared" si="6"/>
        <v>#DIV/0!</v>
      </c>
      <c r="S16" s="11" t="e">
        <f t="shared" si="7"/>
        <v>#DIV/0!</v>
      </c>
      <c r="T16" s="7">
        <f>NPA!T16+NES!T16+'2026-PKL NPA'!T16+'2026- Harian NES'!T16+'2026-Harian NPA'!T16+'2026-LPK MKS NPA'!T16+'2026-LPK MKM NPA'!T16+'2026-LPK DKP NPA '!T16+'2026-LPK CTPS NPA'!T16+'2026-LPK CDB NPA'!T16+'2026-OS CTPS NPA'!T16+'2026-OS CDB NPA'!T16</f>
        <v>0</v>
      </c>
      <c r="U16" s="7">
        <f>NPA!U16+NES!U16+'2026-PKL NPA'!U16+'2026- Harian NES'!U16+'2026-Harian NPA'!U16+'2026-LPK MKS NPA'!U16+'2026-LPK MKM NPA'!U16+'2026-LPK DKP NPA '!U16+'2026-LPK CTPS NPA'!U16+'2026-LPK CDB NPA'!U16+'2026-OS CTPS NPA'!U16+'2026-OS CDB NPA'!U16</f>
        <v>0</v>
      </c>
      <c r="V16" s="11" t="e">
        <f t="shared" si="8"/>
        <v>#DIV/0!</v>
      </c>
      <c r="W16" s="11" t="e">
        <f t="shared" si="9"/>
        <v>#DIV/0!</v>
      </c>
      <c r="X16" s="7">
        <f>NPA!X16+NES!X16+'2026-PKL NPA'!X16+'2026- Harian NES'!X16+'2026-Harian NPA'!X16+'2026-LPK MKS NPA'!X16+'2026-LPK MKM NPA'!X16+'2026-LPK DKP NPA '!X16+'2026-LPK CTPS NPA'!X16+'2026-LPK CDB NPA'!X16+'2026-OS CTPS NPA'!X16+'2026-OS CDB NPA'!X16</f>
        <v>0</v>
      </c>
      <c r="Y16" s="7">
        <f>NPA!Y16+NES!Y16+'2026-PKL NPA'!Y16+'2026- Harian NES'!Y16+'2026-Harian NPA'!Y16+'2026-LPK MKS NPA'!Y16+'2026-LPK MKM NPA'!Y16+'2026-LPK DKP NPA '!Y16+'2026-LPK CTPS NPA'!Y16+'2026-LPK CDB NPA'!Y16+'2026-OS CTPS NPA'!Y16+'2026-OS CDB NPA'!Y16</f>
        <v>0</v>
      </c>
      <c r="Z16" s="11" t="e">
        <f t="shared" si="10"/>
        <v>#DIV/0!</v>
      </c>
      <c r="AA16" s="11" t="e">
        <f t="shared" si="11"/>
        <v>#DIV/0!</v>
      </c>
      <c r="AB16" s="7">
        <f>NPA!AB16+NES!AB16+'2026-PKL NPA'!AB16+'2026- Harian NES'!AB16+'2026-Harian NPA'!AB16+'2026-LPK MKS NPA'!AB16+'2026-LPK MKM NPA'!AB16+'2026-LPK DKP NPA '!AB16+'2026-LPK CTPS NPA'!AB16+'2026-LPK CDB NPA'!AB16+'2026-OS CTPS NPA'!AB16+'2026-OS CDB NPA'!AB16</f>
        <v>0</v>
      </c>
      <c r="AC16" s="7">
        <f>NPA!AC16+NES!AC16+'2026-PKL NPA'!AC16+'2026- Harian NES'!AC16+'2026-Harian NPA'!AC16+'2026-LPK MKS NPA'!AC16+'2026-LPK MKM NPA'!AC16+'2026-LPK DKP NPA '!AC16+'2026-LPK CTPS NPA'!AC16+'2026-LPK CDB NPA'!AC16+'2026-OS CTPS NPA'!AC16+'2026-OS CDB NPA'!AC16</f>
        <v>0</v>
      </c>
      <c r="AD16" s="11" t="e">
        <f t="shared" si="12"/>
        <v>#DIV/0!</v>
      </c>
      <c r="AE16" s="11" t="e">
        <f t="shared" si="13"/>
        <v>#DIV/0!</v>
      </c>
      <c r="AF16" s="7">
        <f>NPA!AF16+NES!AF16+'2026-PKL NPA'!AF16+'2026- Harian NES'!AF16+'2026-Harian NPA'!AF16+'2026-LPK MKS NPA'!AF16+'2026-LPK MKM NPA'!AF16+'2026-LPK DKP NPA '!AF16+'2026-LPK CTPS NPA'!AF16+'2026-LPK CDB NPA'!AF16+'2026-OS CTPS NPA'!AF16+'2026-OS CDB NPA'!AF16</f>
        <v>0</v>
      </c>
      <c r="AG16" s="7">
        <f>NPA!AG16+NES!AG16+'2026-PKL NPA'!AG16+'2026- Harian NES'!AG16+'2026-Harian NPA'!AG16+'2026-LPK MKS NPA'!AG16+'2026-LPK MKM NPA'!AG16+'2026-LPK DKP NPA '!AG16+'2026-LPK CTPS NPA'!AG16+'2026-LPK CDB NPA'!AG16+'2026-OS CTPS NPA'!AG16+'2026-OS CDB NPA'!AG16</f>
        <v>0</v>
      </c>
      <c r="AH16" s="11" t="e">
        <f t="shared" si="14"/>
        <v>#DIV/0!</v>
      </c>
      <c r="AI16" s="11" t="e">
        <f t="shared" si="15"/>
        <v>#DIV/0!</v>
      </c>
      <c r="AJ16" s="7">
        <f>NPA!AJ16+NES!AJ16+'2026-PKL NPA'!AJ16+'2026- Harian NES'!AJ16+'2026-Harian NPA'!AJ16+'2026-LPK MKS NPA'!AJ16+'2026-LPK MKM NPA'!AJ16+'2026-LPK DKP NPA '!AJ16+'2026-LPK CTPS NPA'!AJ16+'2026-LPK CDB NPA'!AJ16+'2026-OS CTPS NPA'!AJ16+'2026-OS CDB NPA'!AJ16</f>
        <v>0</v>
      </c>
      <c r="AK16" s="7">
        <f>NPA!AK16+NES!AK16+'2026-PKL NPA'!AK16+'2026- Harian NES'!AK16+'2026-Harian NPA'!AK16+'2026-LPK MKS NPA'!AK16+'2026-LPK MKM NPA'!AK16+'2026-LPK DKP NPA '!AK16+'2026-LPK CTPS NPA'!AK16+'2026-LPK CDB NPA'!AK16+'2026-OS CTPS NPA'!AK16+'2026-OS CDB NPA'!AK16</f>
        <v>0</v>
      </c>
      <c r="AL16" s="11" t="e">
        <f t="shared" si="16"/>
        <v>#DIV/0!</v>
      </c>
      <c r="AM16" s="11" t="e">
        <f t="shared" si="17"/>
        <v>#DIV/0!</v>
      </c>
      <c r="AN16" s="7">
        <f>NPA!AN16+NES!AN16+'2026-PKL NPA'!AN16+'2026- Harian NES'!AN16+'2026-Harian NPA'!AN16+'2026-LPK MKS NPA'!AN16+'2026-LPK MKM NPA'!AN16+'2026-LPK DKP NPA '!AN16+'2026-LPK CTPS NPA'!AN16+'2026-LPK CDB NPA'!AN16+'2026-OS CTPS NPA'!AN16+'2026-OS CDB NPA'!AN16</f>
        <v>0</v>
      </c>
      <c r="AO16" s="7">
        <f>NPA!AO16+NES!AO16+'2026-PKL NPA'!AO16+'2026- Harian NES'!AO16+'2026-Harian NPA'!AO16+'2026-LPK MKS NPA'!AO16+'2026-LPK MKM NPA'!AO16+'2026-LPK DKP NPA '!AO16+'2026-LPK CTPS NPA'!AO16+'2026-LPK CDB NPA'!AO16+'2026-OS CTPS NPA'!AO16+'2026-OS CDB NPA'!AO16</f>
        <v>0</v>
      </c>
      <c r="AP16" s="11" t="e">
        <f t="shared" si="18"/>
        <v>#DIV/0!</v>
      </c>
      <c r="AQ16" s="11" t="e">
        <f t="shared" si="19"/>
        <v>#DIV/0!</v>
      </c>
      <c r="AR16" s="7">
        <f>NPA!AR16+NES!AR16+'2026-PKL NPA'!AR16+'2026- Harian NES'!AR16+'2026-Harian NPA'!AR16+'2026-LPK MKS NPA'!AR16+'2026-LPK MKM NPA'!AR16+'2026-LPK DKP NPA '!AR16+'2026-LPK CTPS NPA'!AR16+'2026-LPK CDB NPA'!AR16+'2026-OS CTPS NPA'!AR16+'2026-OS CDB NPA'!AR16</f>
        <v>0</v>
      </c>
      <c r="AS16" s="7">
        <f>NPA!AS16+NES!AS16+'2026-PKL NPA'!AS16+'2026- Harian NES'!AS16+'2026-Harian NPA'!AS16+'2026-LPK MKS NPA'!AS16+'2026-LPK MKM NPA'!AS16+'2026-LPK DKP NPA '!AS16+'2026-LPK CTPS NPA'!AS16+'2026-LPK CDB NPA'!AS16+'2026-OS CTPS NPA'!AS16+'2026-OS CDB NPA'!AS16</f>
        <v>0</v>
      </c>
      <c r="AT16" s="11" t="e">
        <f t="shared" si="20"/>
        <v>#DIV/0!</v>
      </c>
      <c r="AU16" s="11" t="e">
        <f t="shared" si="21"/>
        <v>#DIV/0!</v>
      </c>
      <c r="AV16" s="7">
        <f>NPA!AV16+NES!AV16+'2026-PKL NPA'!AV16+'2026- Harian NES'!AV16+'2026-Harian NPA'!AV16+'2026-LPK MKS NPA'!AV16+'2026-LPK MKM NPA'!AV16+'2026-LPK DKP NPA '!AV16+'2026-LPK CTPS NPA'!AV16+'2026-LPK CDB NPA'!AV16+'2026-OS CTPS NPA'!AV16+'2026-OS CDB NPA'!AV16</f>
        <v>0</v>
      </c>
      <c r="AW16" s="7">
        <f>NPA!AW16+NES!AW16+'2026-PKL NPA'!AW16+'2026- Harian NES'!AW16+'2026-Harian NPA'!AW16+'2026-LPK MKS NPA'!AW16+'2026-LPK MKM NPA'!AW16+'2026-LPK DKP NPA '!AW16+'2026-LPK CTPS NPA'!AW16+'2026-LPK CDB NPA'!AW16+'2026-OS CTPS NPA'!AW16+'2026-OS CDB NPA'!AW16</f>
        <v>0</v>
      </c>
      <c r="AX16" s="11" t="e">
        <f t="shared" si="22"/>
        <v>#DIV/0!</v>
      </c>
      <c r="AY16" s="11" t="e">
        <f t="shared" si="23"/>
        <v>#DIV/0!</v>
      </c>
      <c r="AZ16" s="19">
        <f t="shared" si="32"/>
        <v>1388858355</v>
      </c>
      <c r="BA16" s="11" t="e">
        <f t="shared" si="27"/>
        <v>#DIV/0!</v>
      </c>
      <c r="BB16" s="11" t="e">
        <f t="shared" si="24"/>
        <v>#DIV/0!</v>
      </c>
      <c r="BC16" s="63">
        <f t="shared" si="28"/>
        <v>1388858355</v>
      </c>
      <c r="BD16" s="63">
        <f t="shared" si="25"/>
        <v>0</v>
      </c>
      <c r="BE16" s="63">
        <f t="shared" si="29"/>
        <v>0</v>
      </c>
      <c r="BF16" s="63">
        <f t="shared" si="30"/>
        <v>0</v>
      </c>
    </row>
    <row r="17" spans="2:58" x14ac:dyDescent="0.35">
      <c r="B17" s="3">
        <f t="shared" si="31"/>
        <v>11</v>
      </c>
      <c r="C17" s="3" t="s">
        <v>40</v>
      </c>
      <c r="D17" s="7">
        <f>NPA!D17+NES!D17+'2026-PKL NPA'!D17+'2026- Harian NES'!D17+'2026-Harian NPA'!D17+'2026-LPK MKS NPA'!D17+'2026-LPK MKM NPA'!D17+'2026-LPK DKP NPA '!D17+'2026-LPK CTPS NPA'!D17+'2026-LPK CDB NPA'!D17+'2026-OS CTPS NPA'!D17+'2026-OS CDB NPA'!D17</f>
        <v>93</v>
      </c>
      <c r="E17" s="7">
        <f>NPA!E17+NES!E17+'2026-PKL NPA'!E17+'2026- Harian NES'!E17+'2026-Harian NPA'!E17+'2026-LPK MKS NPA'!E17+'2026-LPK MKM NPA'!E17+'2026-LPK DKP NPA '!E17+'2026-LPK CTPS NPA'!E17+'2026-LPK CDB NPA'!E17+'2026-OS CTPS NPA'!E17+'2026-OS CDB NPA'!E17</f>
        <v>482109017</v>
      </c>
      <c r="F17" s="11">
        <f t="shared" si="0"/>
        <v>0.28615384615384615</v>
      </c>
      <c r="G17" s="11">
        <f t="shared" si="1"/>
        <v>0.19302342943430467</v>
      </c>
      <c r="H17" s="7">
        <f>NPA!H17+NES!H17+'2026-PKL NPA'!H17+'2026- Harian NES'!H17+'2026-Harian NPA'!H17+'2026-LPK MKS NPA'!H17+'2026-LPK MKM NPA'!H17+'2026-LPK DKP NPA '!H17+'2026-LPK CTPS NPA'!H17+'2026-LPK CDB NPA'!H17+'2026-OS CTPS NPA'!H17+'2026-OS CDB NPA'!H17</f>
        <v>85</v>
      </c>
      <c r="I17" s="7">
        <f>NPA!I17+NES!I17+'2026-PKL NPA'!I17+'2026- Harian NES'!I17+'2026-Harian NPA'!I17+'2026-LPK MKS NPA'!I17+'2026-LPK MKM NPA'!I17+'2026-LPK DKP NPA '!I17+'2026-LPK CTPS NPA'!I17+'2026-LPK CDB NPA'!I17+'2026-OS CTPS NPA'!I17+'2026-OS CDB NPA'!I17</f>
        <v>464828372</v>
      </c>
      <c r="J17" s="11">
        <f t="shared" si="2"/>
        <v>0.27331189710610931</v>
      </c>
      <c r="K17" s="11">
        <f t="shared" si="3"/>
        <v>0.19966269364749858</v>
      </c>
      <c r="L17" s="7">
        <f>NPA!L17+NES!L17+'2026-PKL NPA'!L17+'2026- Harian NES'!L17+'2026-Harian NPA'!L17+'2026-LPK MKS NPA'!L17+'2026-LPK MKM NPA'!L17+'2026-LPK DKP NPA '!L17+'2026-LPK CTPS NPA'!L17+'2026-LPK CDB NPA'!L17+'2026-OS CTPS NPA'!L17+'2026-OS CDB NPA'!L17</f>
        <v>85</v>
      </c>
      <c r="M17" s="7">
        <f>NPA!M17+NES!M17+'2026-PKL NPA'!M17+'2026- Harian NES'!M17+'2026-Harian NPA'!M17+'2026-LPK MKS NPA'!M17+'2026-LPK MKM NPA'!M17+'2026-LPK DKP NPA '!M17+'2026-LPK CTPS NPA'!M17+'2026-LPK CDB NPA'!M17+'2026-OS CTPS NPA'!M17+'2026-OS CDB NPA'!M17</f>
        <v>403977030</v>
      </c>
      <c r="N17" s="11">
        <f t="shared" si="4"/>
        <v>0.27331189710610931</v>
      </c>
      <c r="O17" s="11">
        <f t="shared" si="5"/>
        <v>0.18627360370725321</v>
      </c>
      <c r="P17" s="7">
        <f>NPA!P17+NES!P17+'2026-PKL NPA'!P17+'2026- Harian NES'!P17+'2026-Harian NPA'!P17+'2026-LPK MKS NPA'!P17+'2026-LPK MKM NPA'!P17+'2026-LPK DKP NPA '!P17+'2026-LPK CTPS NPA'!P17+'2026-LPK CDB NPA'!P17+'2026-OS CTPS NPA'!P17+'2026-OS CDB NPA'!P17</f>
        <v>0</v>
      </c>
      <c r="Q17" s="7">
        <f>NPA!Q17+NES!Q17+'2026-PKL NPA'!Q17+'2026- Harian NES'!Q17+'2026-Harian NPA'!Q17+'2026-LPK MKS NPA'!Q17+'2026-LPK MKM NPA'!Q17+'2026-LPK DKP NPA '!Q17+'2026-LPK CTPS NPA'!Q17+'2026-LPK CDB NPA'!Q17+'2026-OS CTPS NPA'!Q17+'2026-OS CDB NPA'!Q17</f>
        <v>0</v>
      </c>
      <c r="R17" s="11" t="e">
        <f t="shared" si="6"/>
        <v>#DIV/0!</v>
      </c>
      <c r="S17" s="11" t="e">
        <f t="shared" si="7"/>
        <v>#DIV/0!</v>
      </c>
      <c r="T17" s="7">
        <f>NPA!T17+NES!T17+'2026-PKL NPA'!T17+'2026- Harian NES'!T17+'2026-Harian NPA'!T17+'2026-LPK MKS NPA'!T17+'2026-LPK MKM NPA'!T17+'2026-LPK DKP NPA '!T17+'2026-LPK CTPS NPA'!T17+'2026-LPK CDB NPA'!T17+'2026-OS CTPS NPA'!T17+'2026-OS CDB NPA'!T17</f>
        <v>0</v>
      </c>
      <c r="U17" s="7">
        <f>NPA!U17+NES!U17+'2026-PKL NPA'!U17+'2026- Harian NES'!U17+'2026-Harian NPA'!U17+'2026-LPK MKS NPA'!U17+'2026-LPK MKM NPA'!U17+'2026-LPK DKP NPA '!U17+'2026-LPK CTPS NPA'!U17+'2026-LPK CDB NPA'!U17+'2026-OS CTPS NPA'!U17+'2026-OS CDB NPA'!U17</f>
        <v>0</v>
      </c>
      <c r="V17" s="11" t="e">
        <f t="shared" si="8"/>
        <v>#DIV/0!</v>
      </c>
      <c r="W17" s="11" t="e">
        <f t="shared" si="9"/>
        <v>#DIV/0!</v>
      </c>
      <c r="X17" s="7">
        <f>NPA!X17+NES!X17+'2026-PKL NPA'!X17+'2026- Harian NES'!X17+'2026-Harian NPA'!X17+'2026-LPK MKS NPA'!X17+'2026-LPK MKM NPA'!X17+'2026-LPK DKP NPA '!X17+'2026-LPK CTPS NPA'!X17+'2026-LPK CDB NPA'!X17+'2026-OS CTPS NPA'!X17+'2026-OS CDB NPA'!X17</f>
        <v>0</v>
      </c>
      <c r="Y17" s="7">
        <f>NPA!Y17+NES!Y17+'2026-PKL NPA'!Y17+'2026- Harian NES'!Y17+'2026-Harian NPA'!Y17+'2026-LPK MKS NPA'!Y17+'2026-LPK MKM NPA'!Y17+'2026-LPK DKP NPA '!Y17+'2026-LPK CTPS NPA'!Y17+'2026-LPK CDB NPA'!Y17+'2026-OS CTPS NPA'!Y17+'2026-OS CDB NPA'!Y17</f>
        <v>0</v>
      </c>
      <c r="Z17" s="11" t="e">
        <f t="shared" si="10"/>
        <v>#DIV/0!</v>
      </c>
      <c r="AA17" s="11" t="e">
        <f t="shared" si="11"/>
        <v>#DIV/0!</v>
      </c>
      <c r="AB17" s="7">
        <f>NPA!AB17+NES!AB17+'2026-PKL NPA'!AB17+'2026- Harian NES'!AB17+'2026-Harian NPA'!AB17+'2026-LPK MKS NPA'!AB17+'2026-LPK MKM NPA'!AB17+'2026-LPK DKP NPA '!AB17+'2026-LPK CTPS NPA'!AB17+'2026-LPK CDB NPA'!AB17+'2026-OS CTPS NPA'!AB17+'2026-OS CDB NPA'!AB17</f>
        <v>0</v>
      </c>
      <c r="AC17" s="7">
        <f>NPA!AC17+NES!AC17+'2026-PKL NPA'!AC17+'2026- Harian NES'!AC17+'2026-Harian NPA'!AC17+'2026-LPK MKS NPA'!AC17+'2026-LPK MKM NPA'!AC17+'2026-LPK DKP NPA '!AC17+'2026-LPK CTPS NPA'!AC17+'2026-LPK CDB NPA'!AC17+'2026-OS CTPS NPA'!AC17+'2026-OS CDB NPA'!AC17</f>
        <v>0</v>
      </c>
      <c r="AD17" s="11" t="e">
        <f t="shared" si="12"/>
        <v>#DIV/0!</v>
      </c>
      <c r="AE17" s="11" t="e">
        <f t="shared" si="13"/>
        <v>#DIV/0!</v>
      </c>
      <c r="AF17" s="7">
        <f>NPA!AF17+NES!AF17+'2026-PKL NPA'!AF17+'2026- Harian NES'!AF17+'2026-Harian NPA'!AF17+'2026-LPK MKS NPA'!AF17+'2026-LPK MKM NPA'!AF17+'2026-LPK DKP NPA '!AF17+'2026-LPK CTPS NPA'!AF17+'2026-LPK CDB NPA'!AF17+'2026-OS CTPS NPA'!AF17+'2026-OS CDB NPA'!AF17</f>
        <v>0</v>
      </c>
      <c r="AG17" s="7">
        <f>NPA!AG17+NES!AG17+'2026-PKL NPA'!AG17+'2026- Harian NES'!AG17+'2026-Harian NPA'!AG17+'2026-LPK MKS NPA'!AG17+'2026-LPK MKM NPA'!AG17+'2026-LPK DKP NPA '!AG17+'2026-LPK CTPS NPA'!AG17+'2026-LPK CDB NPA'!AG17+'2026-OS CTPS NPA'!AG17+'2026-OS CDB NPA'!AG17</f>
        <v>0</v>
      </c>
      <c r="AH17" s="11" t="e">
        <f t="shared" si="14"/>
        <v>#DIV/0!</v>
      </c>
      <c r="AI17" s="11" t="e">
        <f t="shared" si="15"/>
        <v>#DIV/0!</v>
      </c>
      <c r="AJ17" s="7">
        <f>NPA!AJ17+NES!AJ17+'2026-PKL NPA'!AJ17+'2026- Harian NES'!AJ17+'2026-Harian NPA'!AJ17+'2026-LPK MKS NPA'!AJ17+'2026-LPK MKM NPA'!AJ17+'2026-LPK DKP NPA '!AJ17+'2026-LPK CTPS NPA'!AJ17+'2026-LPK CDB NPA'!AJ17+'2026-OS CTPS NPA'!AJ17+'2026-OS CDB NPA'!AJ17</f>
        <v>0</v>
      </c>
      <c r="AK17" s="7">
        <f>NPA!AK17+NES!AK17+'2026-PKL NPA'!AK17+'2026- Harian NES'!AK17+'2026-Harian NPA'!AK17+'2026-LPK MKS NPA'!AK17+'2026-LPK MKM NPA'!AK17+'2026-LPK DKP NPA '!AK17+'2026-LPK CTPS NPA'!AK17+'2026-LPK CDB NPA'!AK17+'2026-OS CTPS NPA'!AK17+'2026-OS CDB NPA'!AK17</f>
        <v>0</v>
      </c>
      <c r="AL17" s="11" t="e">
        <f t="shared" si="16"/>
        <v>#DIV/0!</v>
      </c>
      <c r="AM17" s="11" t="e">
        <f t="shared" si="17"/>
        <v>#DIV/0!</v>
      </c>
      <c r="AN17" s="7">
        <f>NPA!AN17+NES!AN17+'2026-PKL NPA'!AN17+'2026- Harian NES'!AN17+'2026-Harian NPA'!AN17+'2026-LPK MKS NPA'!AN17+'2026-LPK MKM NPA'!AN17+'2026-LPK DKP NPA '!AN17+'2026-LPK CTPS NPA'!AN17+'2026-LPK CDB NPA'!AN17+'2026-OS CTPS NPA'!AN17+'2026-OS CDB NPA'!AN17</f>
        <v>0</v>
      </c>
      <c r="AO17" s="7">
        <f>NPA!AO17+NES!AO17+'2026-PKL NPA'!AO17+'2026- Harian NES'!AO17+'2026-Harian NPA'!AO17+'2026-LPK MKS NPA'!AO17+'2026-LPK MKM NPA'!AO17+'2026-LPK DKP NPA '!AO17+'2026-LPK CTPS NPA'!AO17+'2026-LPK CDB NPA'!AO17+'2026-OS CTPS NPA'!AO17+'2026-OS CDB NPA'!AO17</f>
        <v>0</v>
      </c>
      <c r="AP17" s="11" t="e">
        <f t="shared" si="18"/>
        <v>#DIV/0!</v>
      </c>
      <c r="AQ17" s="11" t="e">
        <f t="shared" si="19"/>
        <v>#DIV/0!</v>
      </c>
      <c r="AR17" s="7">
        <f>NPA!AR17+NES!AR17+'2026-PKL NPA'!AR17+'2026- Harian NES'!AR17+'2026-Harian NPA'!AR17+'2026-LPK MKS NPA'!AR17+'2026-LPK MKM NPA'!AR17+'2026-LPK DKP NPA '!AR17+'2026-LPK CTPS NPA'!AR17+'2026-LPK CDB NPA'!AR17+'2026-OS CTPS NPA'!AR17+'2026-OS CDB NPA'!AR17</f>
        <v>0</v>
      </c>
      <c r="AS17" s="7">
        <f>NPA!AS17+NES!AS17+'2026-PKL NPA'!AS17+'2026- Harian NES'!AS17+'2026-Harian NPA'!AS17+'2026-LPK MKS NPA'!AS17+'2026-LPK MKM NPA'!AS17+'2026-LPK DKP NPA '!AS17+'2026-LPK CTPS NPA'!AS17+'2026-LPK CDB NPA'!AS17+'2026-OS CTPS NPA'!AS17+'2026-OS CDB NPA'!AS17</f>
        <v>0</v>
      </c>
      <c r="AT17" s="11" t="e">
        <f t="shared" si="20"/>
        <v>#DIV/0!</v>
      </c>
      <c r="AU17" s="11" t="e">
        <f t="shared" si="21"/>
        <v>#DIV/0!</v>
      </c>
      <c r="AV17" s="7">
        <f>NPA!AV17+NES!AV17+'2026-PKL NPA'!AV17+'2026- Harian NES'!AV17+'2026-Harian NPA'!AV17+'2026-LPK MKS NPA'!AV17+'2026-LPK MKM NPA'!AV17+'2026-LPK DKP NPA '!AV17+'2026-LPK CTPS NPA'!AV17+'2026-LPK CDB NPA'!AV17+'2026-OS CTPS NPA'!AV17+'2026-OS CDB NPA'!AV17</f>
        <v>0</v>
      </c>
      <c r="AW17" s="7">
        <f>NPA!AW17+NES!AW17+'2026-PKL NPA'!AW17+'2026- Harian NES'!AW17+'2026-Harian NPA'!AW17+'2026-LPK MKS NPA'!AW17+'2026-LPK MKM NPA'!AW17+'2026-LPK DKP NPA '!AW17+'2026-LPK CTPS NPA'!AW17+'2026-LPK CDB NPA'!AW17+'2026-OS CTPS NPA'!AW17+'2026-OS CDB NPA'!AW17</f>
        <v>0</v>
      </c>
      <c r="AX17" s="11" t="e">
        <f t="shared" si="22"/>
        <v>#DIV/0!</v>
      </c>
      <c r="AY17" s="11" t="e">
        <f t="shared" si="23"/>
        <v>#DIV/0!</v>
      </c>
      <c r="AZ17" s="19">
        <f t="shared" si="32"/>
        <v>1350914419</v>
      </c>
      <c r="BA17" s="11" t="e">
        <f t="shared" si="27"/>
        <v>#DIV/0!</v>
      </c>
      <c r="BB17" s="11" t="e">
        <f t="shared" si="24"/>
        <v>#DIV/0!</v>
      </c>
      <c r="BC17" s="63">
        <f t="shared" si="28"/>
        <v>1350914419</v>
      </c>
      <c r="BD17" s="63">
        <f t="shared" si="25"/>
        <v>0</v>
      </c>
      <c r="BE17" s="63">
        <f t="shared" si="29"/>
        <v>0</v>
      </c>
      <c r="BF17" s="63">
        <f t="shared" si="30"/>
        <v>0</v>
      </c>
    </row>
    <row r="18" spans="2:58" x14ac:dyDescent="0.35">
      <c r="B18" s="3">
        <f t="shared" si="31"/>
        <v>12</v>
      </c>
      <c r="C18" s="3" t="s">
        <v>41</v>
      </c>
      <c r="D18" s="7">
        <f>NPA!D18+NES!D18+'2026-PKL NPA'!D18+'2026- Harian NES'!D18+'2026-Harian NPA'!D18+'2026-LPK MKS NPA'!D18+'2026-LPK MKM NPA'!D18+'2026-LPK DKP NPA '!D18+'2026-LPK CTPS NPA'!D18+'2026-LPK CDB NPA'!D18+'2026-OS CTPS NPA'!D18+'2026-OS CDB NPA'!D18</f>
        <v>9</v>
      </c>
      <c r="E18" s="7">
        <f>NPA!E18+NES!E18+'2026-PKL NPA'!E18+'2026- Harian NES'!E18+'2026-Harian NPA'!E18+'2026-LPK MKS NPA'!E18+'2026-LPK MKM NPA'!E18+'2026-LPK DKP NPA '!E18+'2026-LPK CTPS NPA'!E18+'2026-LPK CDB NPA'!E18+'2026-OS CTPS NPA'!E18+'2026-OS CDB NPA'!E18</f>
        <v>52807937</v>
      </c>
      <c r="F18" s="11">
        <f t="shared" si="0"/>
        <v>2.7692307692307693E-2</v>
      </c>
      <c r="G18" s="11">
        <f t="shared" si="1"/>
        <v>2.1142871719179453E-2</v>
      </c>
      <c r="H18" s="7">
        <f>NPA!H18+NES!H18+'2026-PKL NPA'!H18+'2026- Harian NES'!H18+'2026-Harian NPA'!H18+'2026-LPK MKS NPA'!H18+'2026-LPK MKM NPA'!H18+'2026-LPK DKP NPA '!H18+'2026-LPK CTPS NPA'!H18+'2026-LPK CDB NPA'!H18+'2026-OS CTPS NPA'!H18+'2026-OS CDB NPA'!H18</f>
        <v>9</v>
      </c>
      <c r="I18" s="7">
        <f>NPA!I18+NES!I18+'2026-PKL NPA'!I18+'2026- Harian NES'!I18+'2026-Harian NPA'!I18+'2026-LPK MKS NPA'!I18+'2026-LPK MKM NPA'!I18+'2026-LPK DKP NPA '!I18+'2026-LPK CTPS NPA'!I18+'2026-LPK CDB NPA'!I18+'2026-OS CTPS NPA'!I18+'2026-OS CDB NPA'!I18</f>
        <v>51468337</v>
      </c>
      <c r="J18" s="11">
        <f t="shared" si="2"/>
        <v>2.8938906752411574E-2</v>
      </c>
      <c r="K18" s="11">
        <f t="shared" si="3"/>
        <v>2.2107744324559465E-2</v>
      </c>
      <c r="L18" s="7">
        <f>NPA!L18+NES!L18+'2026-PKL NPA'!L18+'2026- Harian NES'!L18+'2026-Harian NPA'!L18+'2026-LPK MKS NPA'!L18+'2026-LPK MKM NPA'!L18+'2026-LPK DKP NPA '!L18+'2026-LPK CTPS NPA'!L18+'2026-LPK CDB NPA'!L18+'2026-OS CTPS NPA'!L18+'2026-OS CDB NPA'!L18</f>
        <v>9</v>
      </c>
      <c r="M18" s="7">
        <f>NPA!M18+NES!M18+'2026-PKL NPA'!M18+'2026- Harian NES'!M18+'2026-Harian NPA'!M18+'2026-LPK MKS NPA'!M18+'2026-LPK MKM NPA'!M18+'2026-LPK DKP NPA '!M18+'2026-LPK CTPS NPA'!M18+'2026-LPK CDB NPA'!M18+'2026-OS CTPS NPA'!M18+'2026-OS CDB NPA'!M18</f>
        <v>49596263</v>
      </c>
      <c r="N18" s="11">
        <f t="shared" si="4"/>
        <v>2.8938906752411574E-2</v>
      </c>
      <c r="O18" s="11">
        <f t="shared" si="5"/>
        <v>2.2868811722841532E-2</v>
      </c>
      <c r="P18" s="7">
        <f>NPA!P18+NES!P18+'2026-PKL NPA'!P18+'2026- Harian NES'!P18+'2026-Harian NPA'!P18+'2026-LPK MKS NPA'!P18+'2026-LPK MKM NPA'!P18+'2026-LPK DKP NPA '!P18+'2026-LPK CTPS NPA'!P18+'2026-LPK CDB NPA'!P18+'2026-OS CTPS NPA'!P18+'2026-OS CDB NPA'!P18</f>
        <v>0</v>
      </c>
      <c r="Q18" s="7">
        <f>NPA!Q18+NES!Q18+'2026-PKL NPA'!Q18+'2026- Harian NES'!Q18+'2026-Harian NPA'!Q18+'2026-LPK MKS NPA'!Q18+'2026-LPK MKM NPA'!Q18+'2026-LPK DKP NPA '!Q18+'2026-LPK CTPS NPA'!Q18+'2026-LPK CDB NPA'!Q18+'2026-OS CTPS NPA'!Q18+'2026-OS CDB NPA'!Q18</f>
        <v>0</v>
      </c>
      <c r="R18" s="11" t="e">
        <f t="shared" si="6"/>
        <v>#DIV/0!</v>
      </c>
      <c r="S18" s="11" t="e">
        <f t="shared" si="7"/>
        <v>#DIV/0!</v>
      </c>
      <c r="T18" s="7">
        <f>NPA!T18+NES!T18+'2026-PKL NPA'!T18+'2026- Harian NES'!T18+'2026-Harian NPA'!T18+'2026-LPK MKS NPA'!T18+'2026-LPK MKM NPA'!T18+'2026-LPK DKP NPA '!T18+'2026-LPK CTPS NPA'!T18+'2026-LPK CDB NPA'!T18+'2026-OS CTPS NPA'!T18+'2026-OS CDB NPA'!T18</f>
        <v>0</v>
      </c>
      <c r="U18" s="7">
        <f>NPA!U18+NES!U18+'2026-PKL NPA'!U18+'2026- Harian NES'!U18+'2026-Harian NPA'!U18+'2026-LPK MKS NPA'!U18+'2026-LPK MKM NPA'!U18+'2026-LPK DKP NPA '!U18+'2026-LPK CTPS NPA'!U18+'2026-LPK CDB NPA'!U18+'2026-OS CTPS NPA'!U18+'2026-OS CDB NPA'!U18</f>
        <v>0</v>
      </c>
      <c r="V18" s="11" t="e">
        <f t="shared" si="8"/>
        <v>#DIV/0!</v>
      </c>
      <c r="W18" s="11" t="e">
        <f t="shared" si="9"/>
        <v>#DIV/0!</v>
      </c>
      <c r="X18" s="7">
        <f>NPA!X18+NES!X18+'2026-PKL NPA'!X18+'2026- Harian NES'!X18+'2026-Harian NPA'!X18+'2026-LPK MKS NPA'!X18+'2026-LPK MKM NPA'!X18+'2026-LPK DKP NPA '!X18+'2026-LPK CTPS NPA'!X18+'2026-LPK CDB NPA'!X18+'2026-OS CTPS NPA'!X18+'2026-OS CDB NPA'!X18</f>
        <v>0</v>
      </c>
      <c r="Y18" s="7">
        <f>NPA!Y18+NES!Y18+'2026-PKL NPA'!Y18+'2026- Harian NES'!Y18+'2026-Harian NPA'!Y18+'2026-LPK MKS NPA'!Y18+'2026-LPK MKM NPA'!Y18+'2026-LPK DKP NPA '!Y18+'2026-LPK CTPS NPA'!Y18+'2026-LPK CDB NPA'!Y18+'2026-OS CTPS NPA'!Y18+'2026-OS CDB NPA'!Y18</f>
        <v>0</v>
      </c>
      <c r="Z18" s="11" t="e">
        <f t="shared" si="10"/>
        <v>#DIV/0!</v>
      </c>
      <c r="AA18" s="11" t="e">
        <f t="shared" si="11"/>
        <v>#DIV/0!</v>
      </c>
      <c r="AB18" s="7">
        <f>NPA!AB18+NES!AB18+'2026-PKL NPA'!AB18+'2026- Harian NES'!AB18+'2026-Harian NPA'!AB18+'2026-LPK MKS NPA'!AB18+'2026-LPK MKM NPA'!AB18+'2026-LPK DKP NPA '!AB18+'2026-LPK CTPS NPA'!AB18+'2026-LPK CDB NPA'!AB18+'2026-OS CTPS NPA'!AB18+'2026-OS CDB NPA'!AB18</f>
        <v>0</v>
      </c>
      <c r="AC18" s="7">
        <f>NPA!AC18+NES!AC18+'2026-PKL NPA'!AC18+'2026- Harian NES'!AC18+'2026-Harian NPA'!AC18+'2026-LPK MKS NPA'!AC18+'2026-LPK MKM NPA'!AC18+'2026-LPK DKP NPA '!AC18+'2026-LPK CTPS NPA'!AC18+'2026-LPK CDB NPA'!AC18+'2026-OS CTPS NPA'!AC18+'2026-OS CDB NPA'!AC18</f>
        <v>0</v>
      </c>
      <c r="AD18" s="11" t="e">
        <f t="shared" si="12"/>
        <v>#DIV/0!</v>
      </c>
      <c r="AE18" s="11" t="e">
        <f t="shared" si="13"/>
        <v>#DIV/0!</v>
      </c>
      <c r="AF18" s="7">
        <f>NPA!AF18+NES!AF18+'2026-PKL NPA'!AF18+'2026- Harian NES'!AF18+'2026-Harian NPA'!AF18+'2026-LPK MKS NPA'!AF18+'2026-LPK MKM NPA'!AF18+'2026-LPK DKP NPA '!AF18+'2026-LPK CTPS NPA'!AF18+'2026-LPK CDB NPA'!AF18+'2026-OS CTPS NPA'!AF18+'2026-OS CDB NPA'!AF18</f>
        <v>0</v>
      </c>
      <c r="AG18" s="7">
        <f>NPA!AG18+NES!AG18+'2026-PKL NPA'!AG18+'2026- Harian NES'!AG18+'2026-Harian NPA'!AG18+'2026-LPK MKS NPA'!AG18+'2026-LPK MKM NPA'!AG18+'2026-LPK DKP NPA '!AG18+'2026-LPK CTPS NPA'!AG18+'2026-LPK CDB NPA'!AG18+'2026-OS CTPS NPA'!AG18+'2026-OS CDB NPA'!AG18</f>
        <v>0</v>
      </c>
      <c r="AH18" s="11" t="e">
        <f t="shared" si="14"/>
        <v>#DIV/0!</v>
      </c>
      <c r="AI18" s="11" t="e">
        <f t="shared" si="15"/>
        <v>#DIV/0!</v>
      </c>
      <c r="AJ18" s="7">
        <f>NPA!AJ18+NES!AJ18+'2026-PKL NPA'!AJ18+'2026- Harian NES'!AJ18+'2026-Harian NPA'!AJ18+'2026-LPK MKS NPA'!AJ18+'2026-LPK MKM NPA'!AJ18+'2026-LPK DKP NPA '!AJ18+'2026-LPK CTPS NPA'!AJ18+'2026-LPK CDB NPA'!AJ18+'2026-OS CTPS NPA'!AJ18+'2026-OS CDB NPA'!AJ18</f>
        <v>0</v>
      </c>
      <c r="AK18" s="7">
        <f>NPA!AK18+NES!AK18+'2026-PKL NPA'!AK18+'2026- Harian NES'!AK18+'2026-Harian NPA'!AK18+'2026-LPK MKS NPA'!AK18+'2026-LPK MKM NPA'!AK18+'2026-LPK DKP NPA '!AK18+'2026-LPK CTPS NPA'!AK18+'2026-LPK CDB NPA'!AK18+'2026-OS CTPS NPA'!AK18+'2026-OS CDB NPA'!AK18</f>
        <v>0</v>
      </c>
      <c r="AL18" s="11" t="e">
        <f t="shared" si="16"/>
        <v>#DIV/0!</v>
      </c>
      <c r="AM18" s="11" t="e">
        <f t="shared" si="17"/>
        <v>#DIV/0!</v>
      </c>
      <c r="AN18" s="7">
        <f>NPA!AN18+NES!AN18+'2026-PKL NPA'!AN18+'2026- Harian NES'!AN18+'2026-Harian NPA'!AN18+'2026-LPK MKS NPA'!AN18+'2026-LPK MKM NPA'!AN18+'2026-LPK DKP NPA '!AN18+'2026-LPK CTPS NPA'!AN18+'2026-LPK CDB NPA'!AN18+'2026-OS CTPS NPA'!AN18+'2026-OS CDB NPA'!AN18</f>
        <v>0</v>
      </c>
      <c r="AO18" s="7">
        <f>NPA!AO18+NES!AO18+'2026-PKL NPA'!AO18+'2026- Harian NES'!AO18+'2026-Harian NPA'!AO18+'2026-LPK MKS NPA'!AO18+'2026-LPK MKM NPA'!AO18+'2026-LPK DKP NPA '!AO18+'2026-LPK CTPS NPA'!AO18+'2026-LPK CDB NPA'!AO18+'2026-OS CTPS NPA'!AO18+'2026-OS CDB NPA'!AO18</f>
        <v>0</v>
      </c>
      <c r="AP18" s="11" t="e">
        <f t="shared" si="18"/>
        <v>#DIV/0!</v>
      </c>
      <c r="AQ18" s="11" t="e">
        <f t="shared" si="19"/>
        <v>#DIV/0!</v>
      </c>
      <c r="AR18" s="7">
        <f>NPA!AR18+NES!AR18+'2026-PKL NPA'!AR18+'2026- Harian NES'!AR18+'2026-Harian NPA'!AR18+'2026-LPK MKS NPA'!AR18+'2026-LPK MKM NPA'!AR18+'2026-LPK DKP NPA '!AR18+'2026-LPK CTPS NPA'!AR18+'2026-LPK CDB NPA'!AR18+'2026-OS CTPS NPA'!AR18+'2026-OS CDB NPA'!AR18</f>
        <v>0</v>
      </c>
      <c r="AS18" s="7">
        <f>NPA!AS18+NES!AS18+'2026-PKL NPA'!AS18+'2026- Harian NES'!AS18+'2026-Harian NPA'!AS18+'2026-LPK MKS NPA'!AS18+'2026-LPK MKM NPA'!AS18+'2026-LPK DKP NPA '!AS18+'2026-LPK CTPS NPA'!AS18+'2026-LPK CDB NPA'!AS18+'2026-OS CTPS NPA'!AS18+'2026-OS CDB NPA'!AS18</f>
        <v>0</v>
      </c>
      <c r="AT18" s="11" t="e">
        <f t="shared" si="20"/>
        <v>#DIV/0!</v>
      </c>
      <c r="AU18" s="11" t="e">
        <f t="shared" si="21"/>
        <v>#DIV/0!</v>
      </c>
      <c r="AV18" s="7">
        <f>NPA!AV18+NES!AV18+'2026-PKL NPA'!AV18+'2026- Harian NES'!AV18+'2026-Harian NPA'!AV18+'2026-LPK MKS NPA'!AV18+'2026-LPK MKM NPA'!AV18+'2026-LPK DKP NPA '!AV18+'2026-LPK CTPS NPA'!AV18+'2026-LPK CDB NPA'!AV18+'2026-OS CTPS NPA'!AV18+'2026-OS CDB NPA'!AV18</f>
        <v>0</v>
      </c>
      <c r="AW18" s="7">
        <f>NPA!AW18+NES!AW18+'2026-PKL NPA'!AW18+'2026- Harian NES'!AW18+'2026-Harian NPA'!AW18+'2026-LPK MKS NPA'!AW18+'2026-LPK MKM NPA'!AW18+'2026-LPK DKP NPA '!AW18+'2026-LPK CTPS NPA'!AW18+'2026-LPK CDB NPA'!AW18+'2026-OS CTPS NPA'!AW18+'2026-OS CDB NPA'!AW18</f>
        <v>0</v>
      </c>
      <c r="AX18" s="11" t="e">
        <f t="shared" si="22"/>
        <v>#DIV/0!</v>
      </c>
      <c r="AY18" s="11" t="e">
        <f t="shared" si="23"/>
        <v>#DIV/0!</v>
      </c>
      <c r="AZ18" s="19">
        <f t="shared" si="32"/>
        <v>153872537</v>
      </c>
      <c r="BA18" s="11" t="e">
        <f t="shared" si="27"/>
        <v>#DIV/0!</v>
      </c>
      <c r="BB18" s="11" t="e">
        <f t="shared" si="24"/>
        <v>#DIV/0!</v>
      </c>
      <c r="BC18" s="63">
        <f t="shared" si="28"/>
        <v>153872537</v>
      </c>
      <c r="BD18" s="63">
        <f t="shared" si="25"/>
        <v>0</v>
      </c>
      <c r="BE18" s="63">
        <f t="shared" si="29"/>
        <v>0</v>
      </c>
      <c r="BF18" s="63">
        <f t="shared" si="30"/>
        <v>0</v>
      </c>
    </row>
    <row r="19" spans="2:58" x14ac:dyDescent="0.35">
      <c r="B19" s="3">
        <f t="shared" si="31"/>
        <v>13</v>
      </c>
      <c r="C19" s="3" t="s">
        <v>23</v>
      </c>
      <c r="D19" s="7">
        <f>NPA!D19+NES!D19+'2026-PKL NPA'!D19+'2026- Harian NES'!D19+'2026-Harian NPA'!D19+'2026-LPK MKS NPA'!D19+'2026-LPK MKM NPA'!D19+'2026-LPK DKP NPA '!D19+'2026-LPK CTPS NPA'!D19+'2026-LPK CDB NPA'!D19+'2026-OS CTPS NPA'!D19+'2026-OS CDB NPA'!D19</f>
        <v>20</v>
      </c>
      <c r="E19" s="7">
        <f>NPA!E19+NES!E19+'2026-PKL NPA'!E19+'2026- Harian NES'!E19+'2026-Harian NPA'!E19+'2026-LPK MKS NPA'!E19+'2026-LPK MKM NPA'!E19+'2026-LPK DKP NPA '!E19+'2026-LPK CTPS NPA'!E19+'2026-LPK CDB NPA'!E19+'2026-OS CTPS NPA'!E19+'2026-OS CDB NPA'!E19</f>
        <v>151509995</v>
      </c>
      <c r="F19" s="11">
        <f t="shared" si="0"/>
        <v>6.1538461538461542E-2</v>
      </c>
      <c r="G19" s="11">
        <f t="shared" si="1"/>
        <v>6.0660509961949854E-2</v>
      </c>
      <c r="H19" s="7">
        <f>NPA!H19+NES!H19+'2026-PKL NPA'!H19+'2026- Harian NES'!H19+'2026-Harian NPA'!H19+'2026-LPK MKS NPA'!H19+'2026-LPK MKM NPA'!H19+'2026-LPK DKP NPA '!H19+'2026-LPK CTPS NPA'!H19+'2026-LPK CDB NPA'!H19+'2026-OS CTPS NPA'!H19+'2026-OS CDB NPA'!H19</f>
        <v>20</v>
      </c>
      <c r="I19" s="7">
        <f>NPA!I19+NES!I19+'2026-PKL NPA'!I19+'2026- Harian NES'!I19+'2026-Harian NPA'!I19+'2026-LPK MKS NPA'!I19+'2026-LPK MKM NPA'!I19+'2026-LPK DKP NPA '!I19+'2026-LPK CTPS NPA'!I19+'2026-LPK CDB NPA'!I19+'2026-OS CTPS NPA'!I19+'2026-OS CDB NPA'!I19</f>
        <v>148167878</v>
      </c>
      <c r="J19" s="11">
        <f t="shared" si="2"/>
        <v>6.4308681672025719E-2</v>
      </c>
      <c r="K19" s="11">
        <f t="shared" si="3"/>
        <v>6.3644130641650989E-2</v>
      </c>
      <c r="L19" s="7">
        <f>NPA!L19+NES!L19+'2026-PKL NPA'!L19+'2026- Harian NES'!L19+'2026-Harian NPA'!L19+'2026-LPK MKS NPA'!L19+'2026-LPK MKM NPA'!L19+'2026-LPK DKP NPA '!L19+'2026-LPK CTPS NPA'!L19+'2026-LPK CDB NPA'!L19+'2026-OS CTPS NPA'!L19+'2026-OS CDB NPA'!L19</f>
        <v>20</v>
      </c>
      <c r="M19" s="7">
        <f>NPA!M19+NES!M19+'2026-PKL NPA'!M19+'2026- Harian NES'!M19+'2026-Harian NPA'!M19+'2026-LPK MKS NPA'!M19+'2026-LPK MKM NPA'!M19+'2026-LPK DKP NPA '!M19+'2026-LPK CTPS NPA'!M19+'2026-LPK CDB NPA'!M19+'2026-OS CTPS NPA'!M19+'2026-OS CDB NPA'!M19</f>
        <v>147554425</v>
      </c>
      <c r="N19" s="11">
        <f t="shared" si="4"/>
        <v>6.4308681672025719E-2</v>
      </c>
      <c r="O19" s="11">
        <f t="shared" si="5"/>
        <v>6.8037270553975834E-2</v>
      </c>
      <c r="P19" s="7">
        <f>NPA!P19+NES!P19+'2026-PKL NPA'!P19+'2026- Harian NES'!P19+'2026-Harian NPA'!P19+'2026-LPK MKS NPA'!P19+'2026-LPK MKM NPA'!P19+'2026-LPK DKP NPA '!P19+'2026-LPK CTPS NPA'!P19+'2026-LPK CDB NPA'!P19+'2026-OS CTPS NPA'!P19+'2026-OS CDB NPA'!P19</f>
        <v>0</v>
      </c>
      <c r="Q19" s="7">
        <f>NPA!Q19+NES!Q19+'2026-PKL NPA'!Q19+'2026- Harian NES'!Q19+'2026-Harian NPA'!Q19+'2026-LPK MKS NPA'!Q19+'2026-LPK MKM NPA'!Q19+'2026-LPK DKP NPA '!Q19+'2026-LPK CTPS NPA'!Q19+'2026-LPK CDB NPA'!Q19+'2026-OS CTPS NPA'!Q19+'2026-OS CDB NPA'!Q19</f>
        <v>0</v>
      </c>
      <c r="R19" s="11" t="e">
        <f t="shared" si="6"/>
        <v>#DIV/0!</v>
      </c>
      <c r="S19" s="11" t="e">
        <f t="shared" si="7"/>
        <v>#DIV/0!</v>
      </c>
      <c r="T19" s="7">
        <f>NPA!T19+NES!T19+'2026-PKL NPA'!T19+'2026- Harian NES'!T19+'2026-Harian NPA'!T19+'2026-LPK MKS NPA'!T19+'2026-LPK MKM NPA'!T19+'2026-LPK DKP NPA '!T19+'2026-LPK CTPS NPA'!T19+'2026-LPK CDB NPA'!T19+'2026-OS CTPS NPA'!T19+'2026-OS CDB NPA'!T19</f>
        <v>0</v>
      </c>
      <c r="U19" s="7">
        <f>NPA!U19+NES!U19+'2026-PKL NPA'!U19+'2026- Harian NES'!U19+'2026-Harian NPA'!U19+'2026-LPK MKS NPA'!U19+'2026-LPK MKM NPA'!U19+'2026-LPK DKP NPA '!U19+'2026-LPK CTPS NPA'!U19+'2026-LPK CDB NPA'!U19+'2026-OS CTPS NPA'!U19+'2026-OS CDB NPA'!U19</f>
        <v>0</v>
      </c>
      <c r="V19" s="11" t="e">
        <f t="shared" si="8"/>
        <v>#DIV/0!</v>
      </c>
      <c r="W19" s="11" t="e">
        <f t="shared" si="9"/>
        <v>#DIV/0!</v>
      </c>
      <c r="X19" s="7">
        <f>NPA!X19+NES!X19+'2026-PKL NPA'!X19+'2026- Harian NES'!X19+'2026-Harian NPA'!X19+'2026-LPK MKS NPA'!X19+'2026-LPK MKM NPA'!X19+'2026-LPK DKP NPA '!X19+'2026-LPK CTPS NPA'!X19+'2026-LPK CDB NPA'!X19+'2026-OS CTPS NPA'!X19+'2026-OS CDB NPA'!X19</f>
        <v>0</v>
      </c>
      <c r="Y19" s="7">
        <f>NPA!Y19+NES!Y19+'2026-PKL NPA'!Y19+'2026- Harian NES'!Y19+'2026-Harian NPA'!Y19+'2026-LPK MKS NPA'!Y19+'2026-LPK MKM NPA'!Y19+'2026-LPK DKP NPA '!Y19+'2026-LPK CTPS NPA'!Y19+'2026-LPK CDB NPA'!Y19+'2026-OS CTPS NPA'!Y19+'2026-OS CDB NPA'!Y19</f>
        <v>0</v>
      </c>
      <c r="Z19" s="11" t="e">
        <f t="shared" si="10"/>
        <v>#DIV/0!</v>
      </c>
      <c r="AA19" s="11" t="e">
        <f t="shared" si="11"/>
        <v>#DIV/0!</v>
      </c>
      <c r="AB19" s="7">
        <f>NPA!AB19+NES!AB19+'2026-PKL NPA'!AB19+'2026- Harian NES'!AB19+'2026-Harian NPA'!AB19+'2026-LPK MKS NPA'!AB19+'2026-LPK MKM NPA'!AB19+'2026-LPK DKP NPA '!AB19+'2026-LPK CTPS NPA'!AB19+'2026-LPK CDB NPA'!AB19+'2026-OS CTPS NPA'!AB19+'2026-OS CDB NPA'!AB19</f>
        <v>0</v>
      </c>
      <c r="AC19" s="7">
        <f>NPA!AC19+NES!AC19+'2026-PKL NPA'!AC19+'2026- Harian NES'!AC19+'2026-Harian NPA'!AC19+'2026-LPK MKS NPA'!AC19+'2026-LPK MKM NPA'!AC19+'2026-LPK DKP NPA '!AC19+'2026-LPK CTPS NPA'!AC19+'2026-LPK CDB NPA'!AC19+'2026-OS CTPS NPA'!AC19+'2026-OS CDB NPA'!AC19</f>
        <v>0</v>
      </c>
      <c r="AD19" s="11" t="e">
        <f t="shared" si="12"/>
        <v>#DIV/0!</v>
      </c>
      <c r="AE19" s="11" t="e">
        <f t="shared" si="13"/>
        <v>#DIV/0!</v>
      </c>
      <c r="AF19" s="7">
        <f>NPA!AF19+NES!AF19+'2026-PKL NPA'!AF19+'2026- Harian NES'!AF19+'2026-Harian NPA'!AF19+'2026-LPK MKS NPA'!AF19+'2026-LPK MKM NPA'!AF19+'2026-LPK DKP NPA '!AF19+'2026-LPK CTPS NPA'!AF19+'2026-LPK CDB NPA'!AF19+'2026-OS CTPS NPA'!AF19+'2026-OS CDB NPA'!AF19</f>
        <v>0</v>
      </c>
      <c r="AG19" s="7">
        <f>NPA!AG19+NES!AG19+'2026-PKL NPA'!AG19+'2026- Harian NES'!AG19+'2026-Harian NPA'!AG19+'2026-LPK MKS NPA'!AG19+'2026-LPK MKM NPA'!AG19+'2026-LPK DKP NPA '!AG19+'2026-LPK CTPS NPA'!AG19+'2026-LPK CDB NPA'!AG19+'2026-OS CTPS NPA'!AG19+'2026-OS CDB NPA'!AG19</f>
        <v>0</v>
      </c>
      <c r="AH19" s="11" t="e">
        <f t="shared" si="14"/>
        <v>#DIV/0!</v>
      </c>
      <c r="AI19" s="11" t="e">
        <f t="shared" si="15"/>
        <v>#DIV/0!</v>
      </c>
      <c r="AJ19" s="7">
        <f>NPA!AJ19+NES!AJ19+'2026-PKL NPA'!AJ19+'2026- Harian NES'!AJ19+'2026-Harian NPA'!AJ19+'2026-LPK MKS NPA'!AJ19+'2026-LPK MKM NPA'!AJ19+'2026-LPK DKP NPA '!AJ19+'2026-LPK CTPS NPA'!AJ19+'2026-LPK CDB NPA'!AJ19+'2026-OS CTPS NPA'!AJ19+'2026-OS CDB NPA'!AJ19</f>
        <v>0</v>
      </c>
      <c r="AK19" s="7">
        <f>NPA!AK19+NES!AK19+'2026-PKL NPA'!AK19+'2026- Harian NES'!AK19+'2026-Harian NPA'!AK19+'2026-LPK MKS NPA'!AK19+'2026-LPK MKM NPA'!AK19+'2026-LPK DKP NPA '!AK19+'2026-LPK CTPS NPA'!AK19+'2026-LPK CDB NPA'!AK19+'2026-OS CTPS NPA'!AK19+'2026-OS CDB NPA'!AK19</f>
        <v>0</v>
      </c>
      <c r="AL19" s="11" t="e">
        <f t="shared" si="16"/>
        <v>#DIV/0!</v>
      </c>
      <c r="AM19" s="11" t="e">
        <f t="shared" si="17"/>
        <v>#DIV/0!</v>
      </c>
      <c r="AN19" s="7">
        <f>NPA!AN19+NES!AN19+'2026-PKL NPA'!AN19+'2026- Harian NES'!AN19+'2026-Harian NPA'!AN19+'2026-LPK MKS NPA'!AN19+'2026-LPK MKM NPA'!AN19+'2026-LPK DKP NPA '!AN19+'2026-LPK CTPS NPA'!AN19+'2026-LPK CDB NPA'!AN19+'2026-OS CTPS NPA'!AN19+'2026-OS CDB NPA'!AN19</f>
        <v>0</v>
      </c>
      <c r="AO19" s="7">
        <f>NPA!AO19+NES!AO19+'2026-PKL NPA'!AO19+'2026- Harian NES'!AO19+'2026-Harian NPA'!AO19+'2026-LPK MKS NPA'!AO19+'2026-LPK MKM NPA'!AO19+'2026-LPK DKP NPA '!AO19+'2026-LPK CTPS NPA'!AO19+'2026-LPK CDB NPA'!AO19+'2026-OS CTPS NPA'!AO19+'2026-OS CDB NPA'!AO19</f>
        <v>0</v>
      </c>
      <c r="AP19" s="11" t="e">
        <f t="shared" si="18"/>
        <v>#DIV/0!</v>
      </c>
      <c r="AQ19" s="11" t="e">
        <f t="shared" si="19"/>
        <v>#DIV/0!</v>
      </c>
      <c r="AR19" s="7">
        <f>NPA!AR19+NES!AR19+'2026-PKL NPA'!AR19+'2026- Harian NES'!AR19+'2026-Harian NPA'!AR19+'2026-LPK MKS NPA'!AR19+'2026-LPK MKM NPA'!AR19+'2026-LPK DKP NPA '!AR19+'2026-LPK CTPS NPA'!AR19+'2026-LPK CDB NPA'!AR19+'2026-OS CTPS NPA'!AR19+'2026-OS CDB NPA'!AR19</f>
        <v>0</v>
      </c>
      <c r="AS19" s="7">
        <f>NPA!AS19+NES!AS19+'2026-PKL NPA'!AS19+'2026- Harian NES'!AS19+'2026-Harian NPA'!AS19+'2026-LPK MKS NPA'!AS19+'2026-LPK MKM NPA'!AS19+'2026-LPK DKP NPA '!AS19+'2026-LPK CTPS NPA'!AS19+'2026-LPK CDB NPA'!AS19+'2026-OS CTPS NPA'!AS19+'2026-OS CDB NPA'!AS19</f>
        <v>0</v>
      </c>
      <c r="AT19" s="11" t="e">
        <f t="shared" si="20"/>
        <v>#DIV/0!</v>
      </c>
      <c r="AU19" s="11" t="e">
        <f t="shared" si="21"/>
        <v>#DIV/0!</v>
      </c>
      <c r="AV19" s="7">
        <f>NPA!AV19+NES!AV19+'2026-PKL NPA'!AV19+'2026- Harian NES'!AV19+'2026-Harian NPA'!AV19+'2026-LPK MKS NPA'!AV19+'2026-LPK MKM NPA'!AV19+'2026-LPK DKP NPA '!AV19+'2026-LPK CTPS NPA'!AV19+'2026-LPK CDB NPA'!AV19+'2026-OS CTPS NPA'!AV19+'2026-OS CDB NPA'!AV19</f>
        <v>0</v>
      </c>
      <c r="AW19" s="7">
        <f>NPA!AW19+NES!AW19+'2026-PKL NPA'!AW19+'2026- Harian NES'!AW19+'2026-Harian NPA'!AW19+'2026-LPK MKS NPA'!AW19+'2026-LPK MKM NPA'!AW19+'2026-LPK DKP NPA '!AW19+'2026-LPK CTPS NPA'!AW19+'2026-LPK CDB NPA'!AW19+'2026-OS CTPS NPA'!AW19+'2026-OS CDB NPA'!AW19</f>
        <v>0</v>
      </c>
      <c r="AX19" s="11" t="e">
        <f t="shared" si="22"/>
        <v>#DIV/0!</v>
      </c>
      <c r="AY19" s="11" t="e">
        <f t="shared" si="23"/>
        <v>#DIV/0!</v>
      </c>
      <c r="AZ19" s="19">
        <f t="shared" si="32"/>
        <v>447232298</v>
      </c>
      <c r="BA19" s="11" t="e">
        <f t="shared" si="27"/>
        <v>#DIV/0!</v>
      </c>
      <c r="BB19" s="11" t="e">
        <f t="shared" si="24"/>
        <v>#DIV/0!</v>
      </c>
      <c r="BC19" s="63">
        <f t="shared" si="28"/>
        <v>447232298</v>
      </c>
      <c r="BD19" s="63">
        <f t="shared" si="25"/>
        <v>0</v>
      </c>
      <c r="BE19" s="63">
        <f t="shared" si="29"/>
        <v>0</v>
      </c>
      <c r="BF19" s="63">
        <f t="shared" si="30"/>
        <v>0</v>
      </c>
    </row>
    <row r="20" spans="2:58" x14ac:dyDescent="0.35">
      <c r="B20" s="3">
        <f t="shared" si="31"/>
        <v>14</v>
      </c>
      <c r="C20" s="3" t="s">
        <v>24</v>
      </c>
      <c r="D20" s="7">
        <f>NPA!D20+NES!D20+'2026-PKL NPA'!D20+'2026- Harian NES'!D20+'2026-Harian NPA'!D20+'2026-LPK MKS NPA'!D20+'2026-LPK MKM NPA'!D20+'2026-LPK DKP NPA '!D20+'2026-LPK CTPS NPA'!D20+'2026-LPK CDB NPA'!D20+'2026-OS CTPS NPA'!D20+'2026-OS CDB NPA'!D20</f>
        <v>3</v>
      </c>
      <c r="E20" s="7">
        <f>NPA!E20+NES!E20+'2026-PKL NPA'!E20+'2026- Harian NES'!E20+'2026-Harian NPA'!E20+'2026-LPK MKS NPA'!E20+'2026-LPK MKM NPA'!E20+'2026-LPK DKP NPA '!E20+'2026-LPK CTPS NPA'!E20+'2026-LPK CDB NPA'!E20+'2026-OS CTPS NPA'!E20+'2026-OS CDB NPA'!E20</f>
        <v>31336469</v>
      </c>
      <c r="F20" s="11">
        <f t="shared" si="0"/>
        <v>9.2307692307692316E-3</v>
      </c>
      <c r="G20" s="11">
        <f t="shared" si="1"/>
        <v>1.2546275841054796E-2</v>
      </c>
      <c r="H20" s="7">
        <f>NPA!H20+NES!H20+'2026-PKL NPA'!H20+'2026- Harian NES'!H20+'2026-Harian NPA'!H20+'2026-LPK MKS NPA'!H20+'2026-LPK MKM NPA'!H20+'2026-LPK DKP NPA '!H20+'2026-LPK CTPS NPA'!H20+'2026-LPK CDB NPA'!H20+'2026-OS CTPS NPA'!H20+'2026-OS CDB NPA'!H20</f>
        <v>3</v>
      </c>
      <c r="I20" s="7">
        <f>NPA!I20+NES!I20+'2026-PKL NPA'!I20+'2026- Harian NES'!I20+'2026-Harian NPA'!I20+'2026-LPK MKS NPA'!I20+'2026-LPK MKM NPA'!I20+'2026-LPK DKP NPA '!I20+'2026-LPK CTPS NPA'!I20+'2026-LPK CDB NPA'!I20+'2026-OS CTPS NPA'!I20+'2026-OS CDB NPA'!I20</f>
        <v>29858981</v>
      </c>
      <c r="J20" s="11">
        <f t="shared" si="2"/>
        <v>9.6463022508038593E-3</v>
      </c>
      <c r="K20" s="11">
        <f t="shared" si="3"/>
        <v>1.2825646916469808E-2</v>
      </c>
      <c r="L20" s="7">
        <f>NPA!L20+NES!L20+'2026-PKL NPA'!L20+'2026- Harian NES'!L20+'2026-Harian NPA'!L20+'2026-LPK MKS NPA'!L20+'2026-LPK MKM NPA'!L20+'2026-LPK DKP NPA '!L20+'2026-LPK CTPS NPA'!L20+'2026-LPK CDB NPA'!L20+'2026-OS CTPS NPA'!L20+'2026-OS CDB NPA'!L20</f>
        <v>3</v>
      </c>
      <c r="M20" s="7">
        <f>NPA!M20+NES!M20+'2026-PKL NPA'!M20+'2026- Harian NES'!M20+'2026-Harian NPA'!M20+'2026-LPK MKS NPA'!M20+'2026-LPK MKM NPA'!M20+'2026-LPK DKP NPA '!M20+'2026-LPK CTPS NPA'!M20+'2026-LPK CDB NPA'!M20+'2026-OS CTPS NPA'!M20+'2026-OS CDB NPA'!M20</f>
        <v>29074599</v>
      </c>
      <c r="N20" s="11">
        <f t="shared" si="4"/>
        <v>9.6463022508038593E-3</v>
      </c>
      <c r="O20" s="11">
        <f t="shared" si="5"/>
        <v>1.3406282857402314E-2</v>
      </c>
      <c r="P20" s="7">
        <f>NPA!P20+NES!P20+'2026-PKL NPA'!P20+'2026- Harian NES'!P20+'2026-Harian NPA'!P20+'2026-LPK MKS NPA'!P20+'2026-LPK MKM NPA'!P20+'2026-LPK DKP NPA '!P20+'2026-LPK CTPS NPA'!P20+'2026-LPK CDB NPA'!P20+'2026-OS CTPS NPA'!P20+'2026-OS CDB NPA'!P20</f>
        <v>0</v>
      </c>
      <c r="Q20" s="7">
        <f>NPA!Q20+NES!Q20+'2026-PKL NPA'!Q20+'2026- Harian NES'!Q20+'2026-Harian NPA'!Q20+'2026-LPK MKS NPA'!Q20+'2026-LPK MKM NPA'!Q20+'2026-LPK DKP NPA '!Q20+'2026-LPK CTPS NPA'!Q20+'2026-LPK CDB NPA'!Q20+'2026-OS CTPS NPA'!Q20+'2026-OS CDB NPA'!Q20</f>
        <v>0</v>
      </c>
      <c r="R20" s="11" t="e">
        <f t="shared" si="6"/>
        <v>#DIV/0!</v>
      </c>
      <c r="S20" s="11" t="e">
        <f t="shared" si="7"/>
        <v>#DIV/0!</v>
      </c>
      <c r="T20" s="7">
        <f>NPA!T20+NES!T20+'2026-PKL NPA'!T20+'2026- Harian NES'!T20+'2026-Harian NPA'!T20+'2026-LPK MKS NPA'!T20+'2026-LPK MKM NPA'!T20+'2026-LPK DKP NPA '!T20+'2026-LPK CTPS NPA'!T20+'2026-LPK CDB NPA'!T20+'2026-OS CTPS NPA'!T20+'2026-OS CDB NPA'!T20</f>
        <v>0</v>
      </c>
      <c r="U20" s="7">
        <f>NPA!U20+NES!U20+'2026-PKL NPA'!U20+'2026- Harian NES'!U20+'2026-Harian NPA'!U20+'2026-LPK MKS NPA'!U20+'2026-LPK MKM NPA'!U20+'2026-LPK DKP NPA '!U20+'2026-LPK CTPS NPA'!U20+'2026-LPK CDB NPA'!U20+'2026-OS CTPS NPA'!U20+'2026-OS CDB NPA'!U20</f>
        <v>0</v>
      </c>
      <c r="V20" s="11" t="e">
        <f t="shared" si="8"/>
        <v>#DIV/0!</v>
      </c>
      <c r="W20" s="11" t="e">
        <f t="shared" si="9"/>
        <v>#DIV/0!</v>
      </c>
      <c r="X20" s="7">
        <f>NPA!X20+NES!X20+'2026-PKL NPA'!X20+'2026- Harian NES'!X20+'2026-Harian NPA'!X20+'2026-LPK MKS NPA'!X20+'2026-LPK MKM NPA'!X20+'2026-LPK DKP NPA '!X20+'2026-LPK CTPS NPA'!X20+'2026-LPK CDB NPA'!X20+'2026-OS CTPS NPA'!X20+'2026-OS CDB NPA'!X20</f>
        <v>0</v>
      </c>
      <c r="Y20" s="7">
        <f>NPA!Y20+NES!Y20+'2026-PKL NPA'!Y20+'2026- Harian NES'!Y20+'2026-Harian NPA'!Y20+'2026-LPK MKS NPA'!Y20+'2026-LPK MKM NPA'!Y20+'2026-LPK DKP NPA '!Y20+'2026-LPK CTPS NPA'!Y20+'2026-LPK CDB NPA'!Y20+'2026-OS CTPS NPA'!Y20+'2026-OS CDB NPA'!Y20</f>
        <v>0</v>
      </c>
      <c r="Z20" s="11" t="e">
        <f t="shared" si="10"/>
        <v>#DIV/0!</v>
      </c>
      <c r="AA20" s="11" t="e">
        <f t="shared" si="11"/>
        <v>#DIV/0!</v>
      </c>
      <c r="AB20" s="7">
        <f>NPA!AB20+NES!AB20+'2026-PKL NPA'!AB20+'2026- Harian NES'!AB20+'2026-Harian NPA'!AB20+'2026-LPK MKS NPA'!AB20+'2026-LPK MKM NPA'!AB20+'2026-LPK DKP NPA '!AB20+'2026-LPK CTPS NPA'!AB20+'2026-LPK CDB NPA'!AB20+'2026-OS CTPS NPA'!AB20+'2026-OS CDB NPA'!AB20</f>
        <v>0</v>
      </c>
      <c r="AC20" s="7">
        <f>NPA!AC20+NES!AC20+'2026-PKL NPA'!AC20+'2026- Harian NES'!AC20+'2026-Harian NPA'!AC20+'2026-LPK MKS NPA'!AC20+'2026-LPK MKM NPA'!AC20+'2026-LPK DKP NPA '!AC20+'2026-LPK CTPS NPA'!AC20+'2026-LPK CDB NPA'!AC20+'2026-OS CTPS NPA'!AC20+'2026-OS CDB NPA'!AC20</f>
        <v>0</v>
      </c>
      <c r="AD20" s="11" t="e">
        <f t="shared" si="12"/>
        <v>#DIV/0!</v>
      </c>
      <c r="AE20" s="11" t="e">
        <f t="shared" si="13"/>
        <v>#DIV/0!</v>
      </c>
      <c r="AF20" s="7">
        <f>NPA!AF20+NES!AF20+'2026-PKL NPA'!AF20+'2026- Harian NES'!AF20+'2026-Harian NPA'!AF20+'2026-LPK MKS NPA'!AF20+'2026-LPK MKM NPA'!AF20+'2026-LPK DKP NPA '!AF20+'2026-LPK CTPS NPA'!AF20+'2026-LPK CDB NPA'!AF20+'2026-OS CTPS NPA'!AF20+'2026-OS CDB NPA'!AF20</f>
        <v>0</v>
      </c>
      <c r="AG20" s="7">
        <f>NPA!AG20+NES!AG20+'2026-PKL NPA'!AG20+'2026- Harian NES'!AG20+'2026-Harian NPA'!AG20+'2026-LPK MKS NPA'!AG20+'2026-LPK MKM NPA'!AG20+'2026-LPK DKP NPA '!AG20+'2026-LPK CTPS NPA'!AG20+'2026-LPK CDB NPA'!AG20+'2026-OS CTPS NPA'!AG20+'2026-OS CDB NPA'!AG20</f>
        <v>0</v>
      </c>
      <c r="AH20" s="11" t="e">
        <f t="shared" si="14"/>
        <v>#DIV/0!</v>
      </c>
      <c r="AI20" s="11" t="e">
        <f t="shared" si="15"/>
        <v>#DIV/0!</v>
      </c>
      <c r="AJ20" s="7">
        <f>NPA!AJ20+NES!AJ20+'2026-PKL NPA'!AJ20+'2026- Harian NES'!AJ20+'2026-Harian NPA'!AJ20+'2026-LPK MKS NPA'!AJ20+'2026-LPK MKM NPA'!AJ20+'2026-LPK DKP NPA '!AJ20+'2026-LPK CTPS NPA'!AJ20+'2026-LPK CDB NPA'!AJ20+'2026-OS CTPS NPA'!AJ20+'2026-OS CDB NPA'!AJ20</f>
        <v>0</v>
      </c>
      <c r="AK20" s="7">
        <f>NPA!AK20+NES!AK20+'2026-PKL NPA'!AK20+'2026- Harian NES'!AK20+'2026-Harian NPA'!AK20+'2026-LPK MKS NPA'!AK20+'2026-LPK MKM NPA'!AK20+'2026-LPK DKP NPA '!AK20+'2026-LPK CTPS NPA'!AK20+'2026-LPK CDB NPA'!AK20+'2026-OS CTPS NPA'!AK20+'2026-OS CDB NPA'!AK20</f>
        <v>0</v>
      </c>
      <c r="AL20" s="11" t="e">
        <f t="shared" si="16"/>
        <v>#DIV/0!</v>
      </c>
      <c r="AM20" s="11" t="e">
        <f t="shared" si="17"/>
        <v>#DIV/0!</v>
      </c>
      <c r="AN20" s="7">
        <f>NPA!AN20+NES!AN20+'2026-PKL NPA'!AN20+'2026- Harian NES'!AN20+'2026-Harian NPA'!AN20+'2026-LPK MKS NPA'!AN20+'2026-LPK MKM NPA'!AN20+'2026-LPK DKP NPA '!AN20+'2026-LPK CTPS NPA'!AN20+'2026-LPK CDB NPA'!AN20+'2026-OS CTPS NPA'!AN20+'2026-OS CDB NPA'!AN20</f>
        <v>0</v>
      </c>
      <c r="AO20" s="7">
        <f>NPA!AO20+NES!AO20+'2026-PKL NPA'!AO20+'2026- Harian NES'!AO20+'2026-Harian NPA'!AO20+'2026-LPK MKS NPA'!AO20+'2026-LPK MKM NPA'!AO20+'2026-LPK DKP NPA '!AO20+'2026-LPK CTPS NPA'!AO20+'2026-LPK CDB NPA'!AO20+'2026-OS CTPS NPA'!AO20+'2026-OS CDB NPA'!AO20</f>
        <v>0</v>
      </c>
      <c r="AP20" s="11" t="e">
        <f t="shared" si="18"/>
        <v>#DIV/0!</v>
      </c>
      <c r="AQ20" s="11" t="e">
        <f t="shared" si="19"/>
        <v>#DIV/0!</v>
      </c>
      <c r="AR20" s="7">
        <f>NPA!AR20+NES!AR20+'2026-PKL NPA'!AR20+'2026- Harian NES'!AR20+'2026-Harian NPA'!AR20+'2026-LPK MKS NPA'!AR20+'2026-LPK MKM NPA'!AR20+'2026-LPK DKP NPA '!AR20+'2026-LPK CTPS NPA'!AR20+'2026-LPK CDB NPA'!AR20+'2026-OS CTPS NPA'!AR20+'2026-OS CDB NPA'!AR20</f>
        <v>0</v>
      </c>
      <c r="AS20" s="7">
        <f>NPA!AS20+NES!AS20+'2026-PKL NPA'!AS20+'2026- Harian NES'!AS20+'2026-Harian NPA'!AS20+'2026-LPK MKS NPA'!AS20+'2026-LPK MKM NPA'!AS20+'2026-LPK DKP NPA '!AS20+'2026-LPK CTPS NPA'!AS20+'2026-LPK CDB NPA'!AS20+'2026-OS CTPS NPA'!AS20+'2026-OS CDB NPA'!AS20</f>
        <v>0</v>
      </c>
      <c r="AT20" s="11" t="e">
        <f t="shared" si="20"/>
        <v>#DIV/0!</v>
      </c>
      <c r="AU20" s="11" t="e">
        <f t="shared" si="21"/>
        <v>#DIV/0!</v>
      </c>
      <c r="AV20" s="7">
        <f>NPA!AV20+NES!AV20+'2026-PKL NPA'!AV20+'2026- Harian NES'!AV20+'2026-Harian NPA'!AV20+'2026-LPK MKS NPA'!AV20+'2026-LPK MKM NPA'!AV20+'2026-LPK DKP NPA '!AV20+'2026-LPK CTPS NPA'!AV20+'2026-LPK CDB NPA'!AV20+'2026-OS CTPS NPA'!AV20+'2026-OS CDB NPA'!AV20</f>
        <v>0</v>
      </c>
      <c r="AW20" s="7">
        <f>NPA!AW20+NES!AW20+'2026-PKL NPA'!AW20+'2026- Harian NES'!AW20+'2026-Harian NPA'!AW20+'2026-LPK MKS NPA'!AW20+'2026-LPK MKM NPA'!AW20+'2026-LPK DKP NPA '!AW20+'2026-LPK CTPS NPA'!AW20+'2026-LPK CDB NPA'!AW20+'2026-OS CTPS NPA'!AW20+'2026-OS CDB NPA'!AW20</f>
        <v>0</v>
      </c>
      <c r="AX20" s="11" t="e">
        <f t="shared" si="22"/>
        <v>#DIV/0!</v>
      </c>
      <c r="AY20" s="11" t="e">
        <f t="shared" si="23"/>
        <v>#DIV/0!</v>
      </c>
      <c r="AZ20" s="19">
        <f t="shared" si="32"/>
        <v>90270049</v>
      </c>
      <c r="BA20" s="11" t="e">
        <f t="shared" si="27"/>
        <v>#DIV/0!</v>
      </c>
      <c r="BB20" s="11" t="e">
        <f t="shared" si="24"/>
        <v>#DIV/0!</v>
      </c>
      <c r="BC20" s="63">
        <f t="shared" si="28"/>
        <v>90270049</v>
      </c>
      <c r="BD20" s="63">
        <f t="shared" si="25"/>
        <v>0</v>
      </c>
      <c r="BE20" s="63">
        <f t="shared" si="29"/>
        <v>0</v>
      </c>
      <c r="BF20" s="63">
        <f t="shared" si="30"/>
        <v>0</v>
      </c>
    </row>
    <row r="21" spans="2:58" x14ac:dyDescent="0.35">
      <c r="B21" s="3">
        <f t="shared" si="31"/>
        <v>15</v>
      </c>
      <c r="C21" s="3" t="s">
        <v>25</v>
      </c>
      <c r="D21" s="7">
        <f>NPA!D21+NES!D21+'2026-PKL NPA'!D21+'2026- Harian NES'!D21+'2026-Harian NPA'!D21+'2026-LPK MKS NPA'!D21+'2026-LPK MKM NPA'!D21+'2026-LPK DKP NPA '!D21+'2026-LPK CTPS NPA'!D21+'2026-LPK CDB NPA'!D21+'2026-OS CTPS NPA'!D21+'2026-OS CDB NPA'!D21</f>
        <v>8</v>
      </c>
      <c r="E21" s="7">
        <f>NPA!E21+NES!E21+'2026-PKL NPA'!E21+'2026- Harian NES'!E21+'2026-Harian NPA'!E21+'2026-LPK MKS NPA'!E21+'2026-LPK MKM NPA'!E21+'2026-LPK DKP NPA '!E21+'2026-LPK CTPS NPA'!E21+'2026-LPK CDB NPA'!E21+'2026-OS CTPS NPA'!E21+'2026-OS CDB NPA'!E21</f>
        <v>85071224</v>
      </c>
      <c r="F21" s="11">
        <f t="shared" si="0"/>
        <v>2.4615384615384615E-2</v>
      </c>
      <c r="G21" s="11">
        <f t="shared" si="1"/>
        <v>3.4060220455602731E-2</v>
      </c>
      <c r="H21" s="7">
        <f>NPA!H21+NES!H21+'2026-PKL NPA'!H21+'2026- Harian NES'!H21+'2026-Harian NPA'!H21+'2026-LPK MKS NPA'!H21+'2026-LPK MKM NPA'!H21+'2026-LPK DKP NPA '!H21+'2026-LPK CTPS NPA'!H21+'2026-LPK CDB NPA'!H21+'2026-OS CTPS NPA'!H21+'2026-OS CDB NPA'!H21</f>
        <v>8</v>
      </c>
      <c r="I21" s="7">
        <f>NPA!I21+NES!I21+'2026-PKL NPA'!I21+'2026- Harian NES'!I21+'2026-Harian NPA'!I21+'2026-LPK MKS NPA'!I21+'2026-LPK MKM NPA'!I21+'2026-LPK DKP NPA '!I21+'2026-LPK CTPS NPA'!I21+'2026-LPK CDB NPA'!I21+'2026-OS CTPS NPA'!I21+'2026-OS CDB NPA'!I21</f>
        <v>78344172</v>
      </c>
      <c r="J21" s="11">
        <f t="shared" si="2"/>
        <v>2.5723472668810289E-2</v>
      </c>
      <c r="K21" s="11">
        <f t="shared" si="3"/>
        <v>3.3652008688279757E-2</v>
      </c>
      <c r="L21" s="7">
        <f>NPA!L21+NES!L21+'2026-PKL NPA'!L21+'2026- Harian NES'!L21+'2026-Harian NPA'!L21+'2026-LPK MKS NPA'!L21+'2026-LPK MKM NPA'!L21+'2026-LPK DKP NPA '!L21+'2026-LPK CTPS NPA'!L21+'2026-LPK CDB NPA'!L21+'2026-OS CTPS NPA'!L21+'2026-OS CDB NPA'!L21</f>
        <v>8</v>
      </c>
      <c r="M21" s="7">
        <f>NPA!M21+NES!M21+'2026-PKL NPA'!M21+'2026- Harian NES'!M21+'2026-Harian NPA'!M21+'2026-LPK MKS NPA'!M21+'2026-LPK MKM NPA'!M21+'2026-LPK DKP NPA '!M21+'2026-LPK CTPS NPA'!M21+'2026-LPK CDB NPA'!M21+'2026-OS CTPS NPA'!M21+'2026-OS CDB NPA'!M21</f>
        <v>75699193</v>
      </c>
      <c r="N21" s="11">
        <f t="shared" si="4"/>
        <v>2.5723472668810289E-2</v>
      </c>
      <c r="O21" s="11">
        <f t="shared" si="5"/>
        <v>3.4904859511049123E-2</v>
      </c>
      <c r="P21" s="7">
        <f>NPA!P21+NES!P21+'2026-PKL NPA'!P21+'2026- Harian NES'!P21+'2026-Harian NPA'!P21+'2026-LPK MKS NPA'!P21+'2026-LPK MKM NPA'!P21+'2026-LPK DKP NPA '!P21+'2026-LPK CTPS NPA'!P21+'2026-LPK CDB NPA'!P21+'2026-OS CTPS NPA'!P21+'2026-OS CDB NPA'!P21</f>
        <v>0</v>
      </c>
      <c r="Q21" s="7">
        <f>NPA!Q21+NES!Q21+'2026-PKL NPA'!Q21+'2026- Harian NES'!Q21+'2026-Harian NPA'!Q21+'2026-LPK MKS NPA'!Q21+'2026-LPK MKM NPA'!Q21+'2026-LPK DKP NPA '!Q21+'2026-LPK CTPS NPA'!Q21+'2026-LPK CDB NPA'!Q21+'2026-OS CTPS NPA'!Q21+'2026-OS CDB NPA'!Q21</f>
        <v>0</v>
      </c>
      <c r="R21" s="11" t="e">
        <f t="shared" si="6"/>
        <v>#DIV/0!</v>
      </c>
      <c r="S21" s="11" t="e">
        <f t="shared" si="7"/>
        <v>#DIV/0!</v>
      </c>
      <c r="T21" s="7">
        <f>NPA!T21+NES!T21+'2026-PKL NPA'!T21+'2026- Harian NES'!T21+'2026-Harian NPA'!T21+'2026-LPK MKS NPA'!T21+'2026-LPK MKM NPA'!T21+'2026-LPK DKP NPA '!T21+'2026-LPK CTPS NPA'!T21+'2026-LPK CDB NPA'!T21+'2026-OS CTPS NPA'!T21+'2026-OS CDB NPA'!T21</f>
        <v>0</v>
      </c>
      <c r="U21" s="7">
        <f>NPA!U21+NES!U21+'2026-PKL NPA'!U21+'2026- Harian NES'!U21+'2026-Harian NPA'!U21+'2026-LPK MKS NPA'!U21+'2026-LPK MKM NPA'!U21+'2026-LPK DKP NPA '!U21+'2026-LPK CTPS NPA'!U21+'2026-LPK CDB NPA'!U21+'2026-OS CTPS NPA'!U21+'2026-OS CDB NPA'!U21</f>
        <v>0</v>
      </c>
      <c r="V21" s="11" t="e">
        <f t="shared" si="8"/>
        <v>#DIV/0!</v>
      </c>
      <c r="W21" s="11" t="e">
        <f t="shared" si="9"/>
        <v>#DIV/0!</v>
      </c>
      <c r="X21" s="7">
        <f>NPA!X21+NES!X21+'2026-PKL NPA'!X21+'2026- Harian NES'!X21+'2026-Harian NPA'!X21+'2026-LPK MKS NPA'!X21+'2026-LPK MKM NPA'!X21+'2026-LPK DKP NPA '!X21+'2026-LPK CTPS NPA'!X21+'2026-LPK CDB NPA'!X21+'2026-OS CTPS NPA'!X21+'2026-OS CDB NPA'!X21</f>
        <v>0</v>
      </c>
      <c r="Y21" s="7">
        <f>NPA!Y21+NES!Y21+'2026-PKL NPA'!Y21+'2026- Harian NES'!Y21+'2026-Harian NPA'!Y21+'2026-LPK MKS NPA'!Y21+'2026-LPK MKM NPA'!Y21+'2026-LPK DKP NPA '!Y21+'2026-LPK CTPS NPA'!Y21+'2026-LPK CDB NPA'!Y21+'2026-OS CTPS NPA'!Y21+'2026-OS CDB NPA'!Y21</f>
        <v>0</v>
      </c>
      <c r="Z21" s="11" t="e">
        <f t="shared" si="10"/>
        <v>#DIV/0!</v>
      </c>
      <c r="AA21" s="11" t="e">
        <f t="shared" si="11"/>
        <v>#DIV/0!</v>
      </c>
      <c r="AB21" s="7">
        <f>NPA!AB21+NES!AB21+'2026-PKL NPA'!AB21+'2026- Harian NES'!AB21+'2026-Harian NPA'!AB21+'2026-LPK MKS NPA'!AB21+'2026-LPK MKM NPA'!AB21+'2026-LPK DKP NPA '!AB21+'2026-LPK CTPS NPA'!AB21+'2026-LPK CDB NPA'!AB21+'2026-OS CTPS NPA'!AB21+'2026-OS CDB NPA'!AB21</f>
        <v>0</v>
      </c>
      <c r="AC21" s="7">
        <f>NPA!AC21+NES!AC21+'2026-PKL NPA'!AC21+'2026- Harian NES'!AC21+'2026-Harian NPA'!AC21+'2026-LPK MKS NPA'!AC21+'2026-LPK MKM NPA'!AC21+'2026-LPK DKP NPA '!AC21+'2026-LPK CTPS NPA'!AC21+'2026-LPK CDB NPA'!AC21+'2026-OS CTPS NPA'!AC21+'2026-OS CDB NPA'!AC21</f>
        <v>0</v>
      </c>
      <c r="AD21" s="11" t="e">
        <f t="shared" si="12"/>
        <v>#DIV/0!</v>
      </c>
      <c r="AE21" s="11" t="e">
        <f t="shared" si="13"/>
        <v>#DIV/0!</v>
      </c>
      <c r="AF21" s="7">
        <f>NPA!AF21+NES!AF21+'2026-PKL NPA'!AF21+'2026- Harian NES'!AF21+'2026-Harian NPA'!AF21+'2026-LPK MKS NPA'!AF21+'2026-LPK MKM NPA'!AF21+'2026-LPK DKP NPA '!AF21+'2026-LPK CTPS NPA'!AF21+'2026-LPK CDB NPA'!AF21+'2026-OS CTPS NPA'!AF21+'2026-OS CDB NPA'!AF21</f>
        <v>0</v>
      </c>
      <c r="AG21" s="7">
        <f>NPA!AG21+NES!AG21+'2026-PKL NPA'!AG21+'2026- Harian NES'!AG21+'2026-Harian NPA'!AG21+'2026-LPK MKS NPA'!AG21+'2026-LPK MKM NPA'!AG21+'2026-LPK DKP NPA '!AG21+'2026-LPK CTPS NPA'!AG21+'2026-LPK CDB NPA'!AG21+'2026-OS CTPS NPA'!AG21+'2026-OS CDB NPA'!AG21</f>
        <v>0</v>
      </c>
      <c r="AH21" s="11" t="e">
        <f t="shared" si="14"/>
        <v>#DIV/0!</v>
      </c>
      <c r="AI21" s="11" t="e">
        <f t="shared" si="15"/>
        <v>#DIV/0!</v>
      </c>
      <c r="AJ21" s="7">
        <f>NPA!AJ21+NES!AJ21+'2026-PKL NPA'!AJ21+'2026- Harian NES'!AJ21+'2026-Harian NPA'!AJ21+'2026-LPK MKS NPA'!AJ21+'2026-LPK MKM NPA'!AJ21+'2026-LPK DKP NPA '!AJ21+'2026-LPK CTPS NPA'!AJ21+'2026-LPK CDB NPA'!AJ21+'2026-OS CTPS NPA'!AJ21+'2026-OS CDB NPA'!AJ21</f>
        <v>0</v>
      </c>
      <c r="AK21" s="7">
        <f>NPA!AK21+NES!AK21+'2026-PKL NPA'!AK21+'2026- Harian NES'!AK21+'2026-Harian NPA'!AK21+'2026-LPK MKS NPA'!AK21+'2026-LPK MKM NPA'!AK21+'2026-LPK DKP NPA '!AK21+'2026-LPK CTPS NPA'!AK21+'2026-LPK CDB NPA'!AK21+'2026-OS CTPS NPA'!AK21+'2026-OS CDB NPA'!AK21</f>
        <v>0</v>
      </c>
      <c r="AL21" s="11" t="e">
        <f t="shared" si="16"/>
        <v>#DIV/0!</v>
      </c>
      <c r="AM21" s="11" t="e">
        <f t="shared" si="17"/>
        <v>#DIV/0!</v>
      </c>
      <c r="AN21" s="7">
        <f>NPA!AN21+NES!AN21+'2026-PKL NPA'!AN21+'2026- Harian NES'!AN21+'2026-Harian NPA'!AN21+'2026-LPK MKS NPA'!AN21+'2026-LPK MKM NPA'!AN21+'2026-LPK DKP NPA '!AN21+'2026-LPK CTPS NPA'!AN21+'2026-LPK CDB NPA'!AN21+'2026-OS CTPS NPA'!AN21+'2026-OS CDB NPA'!AN21</f>
        <v>0</v>
      </c>
      <c r="AO21" s="7">
        <f>NPA!AO21+NES!AO21+'2026-PKL NPA'!AO21+'2026- Harian NES'!AO21+'2026-Harian NPA'!AO21+'2026-LPK MKS NPA'!AO21+'2026-LPK MKM NPA'!AO21+'2026-LPK DKP NPA '!AO21+'2026-LPK CTPS NPA'!AO21+'2026-LPK CDB NPA'!AO21+'2026-OS CTPS NPA'!AO21+'2026-OS CDB NPA'!AO21</f>
        <v>0</v>
      </c>
      <c r="AP21" s="11" t="e">
        <f t="shared" si="18"/>
        <v>#DIV/0!</v>
      </c>
      <c r="AQ21" s="11" t="e">
        <f t="shared" si="19"/>
        <v>#DIV/0!</v>
      </c>
      <c r="AR21" s="7">
        <f>NPA!AR21+NES!AR21+'2026-PKL NPA'!AR21+'2026- Harian NES'!AR21+'2026-Harian NPA'!AR21+'2026-LPK MKS NPA'!AR21+'2026-LPK MKM NPA'!AR21+'2026-LPK DKP NPA '!AR21+'2026-LPK CTPS NPA'!AR21+'2026-LPK CDB NPA'!AR21+'2026-OS CTPS NPA'!AR21+'2026-OS CDB NPA'!AR21</f>
        <v>0</v>
      </c>
      <c r="AS21" s="7">
        <f>NPA!AS21+NES!AS21+'2026-PKL NPA'!AS21+'2026- Harian NES'!AS21+'2026-Harian NPA'!AS21+'2026-LPK MKS NPA'!AS21+'2026-LPK MKM NPA'!AS21+'2026-LPK DKP NPA '!AS21+'2026-LPK CTPS NPA'!AS21+'2026-LPK CDB NPA'!AS21+'2026-OS CTPS NPA'!AS21+'2026-OS CDB NPA'!AS21</f>
        <v>0</v>
      </c>
      <c r="AT21" s="11" t="e">
        <f t="shared" si="20"/>
        <v>#DIV/0!</v>
      </c>
      <c r="AU21" s="11" t="e">
        <f t="shared" si="21"/>
        <v>#DIV/0!</v>
      </c>
      <c r="AV21" s="7">
        <f>NPA!AV21+NES!AV21+'2026-PKL NPA'!AV21+'2026- Harian NES'!AV21+'2026-Harian NPA'!AV21+'2026-LPK MKS NPA'!AV21+'2026-LPK MKM NPA'!AV21+'2026-LPK DKP NPA '!AV21+'2026-LPK CTPS NPA'!AV21+'2026-LPK CDB NPA'!AV21+'2026-OS CTPS NPA'!AV21+'2026-OS CDB NPA'!AV21</f>
        <v>0</v>
      </c>
      <c r="AW21" s="7">
        <f>NPA!AW21+NES!AW21+'2026-PKL NPA'!AW21+'2026- Harian NES'!AW21+'2026-Harian NPA'!AW21+'2026-LPK MKS NPA'!AW21+'2026-LPK MKM NPA'!AW21+'2026-LPK DKP NPA '!AW21+'2026-LPK CTPS NPA'!AW21+'2026-LPK CDB NPA'!AW21+'2026-OS CTPS NPA'!AW21+'2026-OS CDB NPA'!AW21</f>
        <v>0</v>
      </c>
      <c r="AX21" s="11" t="e">
        <f t="shared" si="22"/>
        <v>#DIV/0!</v>
      </c>
      <c r="AY21" s="11" t="e">
        <f t="shared" si="23"/>
        <v>#DIV/0!</v>
      </c>
      <c r="AZ21" s="19">
        <f t="shared" si="32"/>
        <v>239114589</v>
      </c>
      <c r="BA21" s="11" t="e">
        <f t="shared" si="27"/>
        <v>#DIV/0!</v>
      </c>
      <c r="BB21" s="11" t="e">
        <f t="shared" si="24"/>
        <v>#DIV/0!</v>
      </c>
      <c r="BC21" s="63">
        <f t="shared" si="28"/>
        <v>239114589</v>
      </c>
      <c r="BD21" s="63">
        <f t="shared" si="25"/>
        <v>0</v>
      </c>
      <c r="BE21" s="63">
        <f t="shared" si="29"/>
        <v>0</v>
      </c>
      <c r="BF21" s="63">
        <f t="shared" si="30"/>
        <v>0</v>
      </c>
    </row>
    <row r="22" spans="2:58" x14ac:dyDescent="0.35">
      <c r="B22" s="3">
        <f t="shared" si="31"/>
        <v>16</v>
      </c>
      <c r="C22" s="3" t="s">
        <v>26</v>
      </c>
      <c r="D22" s="7">
        <f>NPA!D22+NES!D22+'2026-PKL NPA'!D22+'2026- Harian NES'!D22+'2026-Harian NPA'!D22+'2026-LPK MKS NPA'!D22+'2026-LPK MKM NPA'!D22+'2026-LPK DKP NPA '!D22+'2026-LPK CTPS NPA'!D22+'2026-LPK CDB NPA'!D22+'2026-OS CTPS NPA'!D22+'2026-OS CDB NPA'!D22</f>
        <v>3</v>
      </c>
      <c r="E22" s="7">
        <f>NPA!E22+NES!E22+'2026-PKL NPA'!E22+'2026- Harian NES'!E22+'2026-Harian NPA'!E22+'2026-LPK MKS NPA'!E22+'2026-LPK MKM NPA'!E22+'2026-LPK DKP NPA '!E22+'2026-LPK CTPS NPA'!E22+'2026-LPK CDB NPA'!E22+'2026-OS CTPS NPA'!E22+'2026-OS CDB NPA'!E22</f>
        <v>25376338</v>
      </c>
      <c r="F22" s="11">
        <f t="shared" si="0"/>
        <v>9.2307692307692316E-3</v>
      </c>
      <c r="G22" s="11">
        <f t="shared" si="1"/>
        <v>1.0160000362001244E-2</v>
      </c>
      <c r="H22" s="7">
        <f>NPA!H22+NES!H22+'2026-PKL NPA'!H22+'2026- Harian NES'!H22+'2026-Harian NPA'!H22+'2026-LPK MKS NPA'!H22+'2026-LPK MKM NPA'!H22+'2026-LPK DKP NPA '!H22+'2026-LPK CTPS NPA'!H22+'2026-LPK CDB NPA'!H22+'2026-OS CTPS NPA'!H22+'2026-OS CDB NPA'!H22</f>
        <v>3</v>
      </c>
      <c r="I22" s="7">
        <f>NPA!I22+NES!I22+'2026-PKL NPA'!I22+'2026- Harian NES'!I22+'2026-Harian NPA'!I22+'2026-LPK MKS NPA'!I22+'2026-LPK MKM NPA'!I22+'2026-LPK DKP NPA '!I22+'2026-LPK CTPS NPA'!I22+'2026-LPK CDB NPA'!I22+'2026-OS CTPS NPA'!I22+'2026-OS CDB NPA'!I22</f>
        <v>25525124</v>
      </c>
      <c r="J22" s="11">
        <f t="shared" si="2"/>
        <v>9.6463022508038593E-3</v>
      </c>
      <c r="K22" s="11">
        <f t="shared" si="3"/>
        <v>1.0964079046204205E-2</v>
      </c>
      <c r="L22" s="7">
        <f>NPA!L22+NES!L22+'2026-PKL NPA'!L22+'2026- Harian NES'!L22+'2026-Harian NPA'!L22+'2026-LPK MKS NPA'!L22+'2026-LPK MKM NPA'!L22+'2026-LPK DKP NPA '!L22+'2026-LPK CTPS NPA'!L22+'2026-LPK CDB NPA'!L22+'2026-OS CTPS NPA'!L22+'2026-OS CDB NPA'!L22</f>
        <v>4</v>
      </c>
      <c r="M22" s="7">
        <f>NPA!M22+NES!M22+'2026-PKL NPA'!M22+'2026- Harian NES'!M22+'2026-Harian NPA'!M22+'2026-LPK MKS NPA'!M22+'2026-LPK MKM NPA'!M22+'2026-LPK DKP NPA '!M22+'2026-LPK CTPS NPA'!M22+'2026-LPK CDB NPA'!M22+'2026-OS CTPS NPA'!M22+'2026-OS CDB NPA'!M22</f>
        <v>23970615</v>
      </c>
      <c r="N22" s="11">
        <f t="shared" si="4"/>
        <v>1.2861736334405145E-2</v>
      </c>
      <c r="O22" s="11">
        <f t="shared" si="5"/>
        <v>1.1052838422840871E-2</v>
      </c>
      <c r="P22" s="7">
        <f>NPA!P22+NES!P22+'2026-PKL NPA'!P22+'2026- Harian NES'!P22+'2026-Harian NPA'!P22+'2026-LPK MKS NPA'!P22+'2026-LPK MKM NPA'!P22+'2026-LPK DKP NPA '!P22+'2026-LPK CTPS NPA'!P22+'2026-LPK CDB NPA'!P22+'2026-OS CTPS NPA'!P22+'2026-OS CDB NPA'!P22</f>
        <v>0</v>
      </c>
      <c r="Q22" s="7">
        <f>NPA!Q22+NES!Q22+'2026-PKL NPA'!Q22+'2026- Harian NES'!Q22+'2026-Harian NPA'!Q22+'2026-LPK MKS NPA'!Q22+'2026-LPK MKM NPA'!Q22+'2026-LPK DKP NPA '!Q22+'2026-LPK CTPS NPA'!Q22+'2026-LPK CDB NPA'!Q22+'2026-OS CTPS NPA'!Q22+'2026-OS CDB NPA'!Q22</f>
        <v>0</v>
      </c>
      <c r="R22" s="11" t="e">
        <f t="shared" si="6"/>
        <v>#DIV/0!</v>
      </c>
      <c r="S22" s="11" t="e">
        <f t="shared" si="7"/>
        <v>#DIV/0!</v>
      </c>
      <c r="T22" s="7">
        <f>NPA!T22+NES!T22+'2026-PKL NPA'!T22+'2026- Harian NES'!T22+'2026-Harian NPA'!T22+'2026-LPK MKS NPA'!T22+'2026-LPK MKM NPA'!T22+'2026-LPK DKP NPA '!T22+'2026-LPK CTPS NPA'!T22+'2026-LPK CDB NPA'!T22+'2026-OS CTPS NPA'!T22+'2026-OS CDB NPA'!T22</f>
        <v>0</v>
      </c>
      <c r="U22" s="7">
        <f>NPA!U22+NES!U22+'2026-PKL NPA'!U22+'2026- Harian NES'!U22+'2026-Harian NPA'!U22+'2026-LPK MKS NPA'!U22+'2026-LPK MKM NPA'!U22+'2026-LPK DKP NPA '!U22+'2026-LPK CTPS NPA'!U22+'2026-LPK CDB NPA'!U22+'2026-OS CTPS NPA'!U22+'2026-OS CDB NPA'!U22</f>
        <v>0</v>
      </c>
      <c r="V22" s="11" t="e">
        <f t="shared" si="8"/>
        <v>#DIV/0!</v>
      </c>
      <c r="W22" s="11" t="e">
        <f t="shared" si="9"/>
        <v>#DIV/0!</v>
      </c>
      <c r="X22" s="7">
        <f>NPA!X22+NES!X22+'2026-PKL NPA'!X22+'2026- Harian NES'!X22+'2026-Harian NPA'!X22+'2026-LPK MKS NPA'!X22+'2026-LPK MKM NPA'!X22+'2026-LPK DKP NPA '!X22+'2026-LPK CTPS NPA'!X22+'2026-LPK CDB NPA'!X22+'2026-OS CTPS NPA'!X22+'2026-OS CDB NPA'!X22</f>
        <v>0</v>
      </c>
      <c r="Y22" s="7">
        <f>NPA!Y22+NES!Y22+'2026-PKL NPA'!Y22+'2026- Harian NES'!Y22+'2026-Harian NPA'!Y22+'2026-LPK MKS NPA'!Y22+'2026-LPK MKM NPA'!Y22+'2026-LPK DKP NPA '!Y22+'2026-LPK CTPS NPA'!Y22+'2026-LPK CDB NPA'!Y22+'2026-OS CTPS NPA'!Y22+'2026-OS CDB NPA'!Y22</f>
        <v>0</v>
      </c>
      <c r="Z22" s="11" t="e">
        <f t="shared" si="10"/>
        <v>#DIV/0!</v>
      </c>
      <c r="AA22" s="11" t="e">
        <f t="shared" si="11"/>
        <v>#DIV/0!</v>
      </c>
      <c r="AB22" s="7">
        <f>NPA!AB22+NES!AB22+'2026-PKL NPA'!AB22+'2026- Harian NES'!AB22+'2026-Harian NPA'!AB22+'2026-LPK MKS NPA'!AB22+'2026-LPK MKM NPA'!AB22+'2026-LPK DKP NPA '!AB22+'2026-LPK CTPS NPA'!AB22+'2026-LPK CDB NPA'!AB22+'2026-OS CTPS NPA'!AB22+'2026-OS CDB NPA'!AB22</f>
        <v>0</v>
      </c>
      <c r="AC22" s="7">
        <f>NPA!AC22+NES!AC22+'2026-PKL NPA'!AC22+'2026- Harian NES'!AC22+'2026-Harian NPA'!AC22+'2026-LPK MKS NPA'!AC22+'2026-LPK MKM NPA'!AC22+'2026-LPK DKP NPA '!AC22+'2026-LPK CTPS NPA'!AC22+'2026-LPK CDB NPA'!AC22+'2026-OS CTPS NPA'!AC22+'2026-OS CDB NPA'!AC22</f>
        <v>0</v>
      </c>
      <c r="AD22" s="11" t="e">
        <f t="shared" si="12"/>
        <v>#DIV/0!</v>
      </c>
      <c r="AE22" s="11" t="e">
        <f t="shared" si="13"/>
        <v>#DIV/0!</v>
      </c>
      <c r="AF22" s="7">
        <f>NPA!AF22+NES!AF22+'2026-PKL NPA'!AF22+'2026- Harian NES'!AF22+'2026-Harian NPA'!AF22+'2026-LPK MKS NPA'!AF22+'2026-LPK MKM NPA'!AF22+'2026-LPK DKP NPA '!AF22+'2026-LPK CTPS NPA'!AF22+'2026-LPK CDB NPA'!AF22+'2026-OS CTPS NPA'!AF22+'2026-OS CDB NPA'!AF22</f>
        <v>0</v>
      </c>
      <c r="AG22" s="7">
        <f>NPA!AG22+NES!AG22+'2026-PKL NPA'!AG22+'2026- Harian NES'!AG22+'2026-Harian NPA'!AG22+'2026-LPK MKS NPA'!AG22+'2026-LPK MKM NPA'!AG22+'2026-LPK DKP NPA '!AG22+'2026-LPK CTPS NPA'!AG22+'2026-LPK CDB NPA'!AG22+'2026-OS CTPS NPA'!AG22+'2026-OS CDB NPA'!AG22</f>
        <v>0</v>
      </c>
      <c r="AH22" s="11" t="e">
        <f t="shared" si="14"/>
        <v>#DIV/0!</v>
      </c>
      <c r="AI22" s="11" t="e">
        <f t="shared" si="15"/>
        <v>#DIV/0!</v>
      </c>
      <c r="AJ22" s="7">
        <f>NPA!AJ22+NES!AJ22+'2026-PKL NPA'!AJ22+'2026- Harian NES'!AJ22+'2026-Harian NPA'!AJ22+'2026-LPK MKS NPA'!AJ22+'2026-LPK MKM NPA'!AJ22+'2026-LPK DKP NPA '!AJ22+'2026-LPK CTPS NPA'!AJ22+'2026-LPK CDB NPA'!AJ22+'2026-OS CTPS NPA'!AJ22+'2026-OS CDB NPA'!AJ22</f>
        <v>0</v>
      </c>
      <c r="AK22" s="7">
        <f>NPA!AK22+NES!AK22+'2026-PKL NPA'!AK22+'2026- Harian NES'!AK22+'2026-Harian NPA'!AK22+'2026-LPK MKS NPA'!AK22+'2026-LPK MKM NPA'!AK22+'2026-LPK DKP NPA '!AK22+'2026-LPK CTPS NPA'!AK22+'2026-LPK CDB NPA'!AK22+'2026-OS CTPS NPA'!AK22+'2026-OS CDB NPA'!AK22</f>
        <v>0</v>
      </c>
      <c r="AL22" s="11" t="e">
        <f t="shared" si="16"/>
        <v>#DIV/0!</v>
      </c>
      <c r="AM22" s="11" t="e">
        <f t="shared" si="17"/>
        <v>#DIV/0!</v>
      </c>
      <c r="AN22" s="7">
        <f>NPA!AN22+NES!AN22+'2026-PKL NPA'!AN22+'2026- Harian NES'!AN22+'2026-Harian NPA'!AN22+'2026-LPK MKS NPA'!AN22+'2026-LPK MKM NPA'!AN22+'2026-LPK DKP NPA '!AN22+'2026-LPK CTPS NPA'!AN22+'2026-LPK CDB NPA'!AN22+'2026-OS CTPS NPA'!AN22+'2026-OS CDB NPA'!AN22</f>
        <v>0</v>
      </c>
      <c r="AO22" s="7">
        <f>NPA!AO22+NES!AO22+'2026-PKL NPA'!AO22+'2026- Harian NES'!AO22+'2026-Harian NPA'!AO22+'2026-LPK MKS NPA'!AO22+'2026-LPK MKM NPA'!AO22+'2026-LPK DKP NPA '!AO22+'2026-LPK CTPS NPA'!AO22+'2026-LPK CDB NPA'!AO22+'2026-OS CTPS NPA'!AO22+'2026-OS CDB NPA'!AO22</f>
        <v>0</v>
      </c>
      <c r="AP22" s="11" t="e">
        <f t="shared" si="18"/>
        <v>#DIV/0!</v>
      </c>
      <c r="AQ22" s="11" t="e">
        <f t="shared" si="19"/>
        <v>#DIV/0!</v>
      </c>
      <c r="AR22" s="7">
        <f>NPA!AR22+NES!AR22+'2026-PKL NPA'!AR22+'2026- Harian NES'!AR22+'2026-Harian NPA'!AR22+'2026-LPK MKS NPA'!AR22+'2026-LPK MKM NPA'!AR22+'2026-LPK DKP NPA '!AR22+'2026-LPK CTPS NPA'!AR22+'2026-LPK CDB NPA'!AR22+'2026-OS CTPS NPA'!AR22+'2026-OS CDB NPA'!AR22</f>
        <v>0</v>
      </c>
      <c r="AS22" s="7">
        <f>NPA!AS22+NES!AS22+'2026-PKL NPA'!AS22+'2026- Harian NES'!AS22+'2026-Harian NPA'!AS22+'2026-LPK MKS NPA'!AS22+'2026-LPK MKM NPA'!AS22+'2026-LPK DKP NPA '!AS22+'2026-LPK CTPS NPA'!AS22+'2026-LPK CDB NPA'!AS22+'2026-OS CTPS NPA'!AS22+'2026-OS CDB NPA'!AS22</f>
        <v>0</v>
      </c>
      <c r="AT22" s="11" t="e">
        <f t="shared" si="20"/>
        <v>#DIV/0!</v>
      </c>
      <c r="AU22" s="11" t="e">
        <f t="shared" si="21"/>
        <v>#DIV/0!</v>
      </c>
      <c r="AV22" s="7">
        <f>NPA!AV22+NES!AV22+'2026-PKL NPA'!AV22+'2026- Harian NES'!AV22+'2026-Harian NPA'!AV22+'2026-LPK MKS NPA'!AV22+'2026-LPK MKM NPA'!AV22+'2026-LPK DKP NPA '!AV22+'2026-LPK CTPS NPA'!AV22+'2026-LPK CDB NPA'!AV22+'2026-OS CTPS NPA'!AV22+'2026-OS CDB NPA'!AV22</f>
        <v>0</v>
      </c>
      <c r="AW22" s="7">
        <f>NPA!AW22+NES!AW22+'2026-PKL NPA'!AW22+'2026- Harian NES'!AW22+'2026-Harian NPA'!AW22+'2026-LPK MKS NPA'!AW22+'2026-LPK MKM NPA'!AW22+'2026-LPK DKP NPA '!AW22+'2026-LPK CTPS NPA'!AW22+'2026-LPK CDB NPA'!AW22+'2026-OS CTPS NPA'!AW22+'2026-OS CDB NPA'!AW22</f>
        <v>0</v>
      </c>
      <c r="AX22" s="11" t="e">
        <f t="shared" si="22"/>
        <v>#DIV/0!</v>
      </c>
      <c r="AY22" s="11" t="e">
        <f t="shared" si="23"/>
        <v>#DIV/0!</v>
      </c>
      <c r="AZ22" s="19">
        <f t="shared" si="32"/>
        <v>74872077</v>
      </c>
      <c r="BA22" s="11" t="e">
        <f t="shared" si="27"/>
        <v>#DIV/0!</v>
      </c>
      <c r="BB22" s="11" t="e">
        <f t="shared" si="24"/>
        <v>#DIV/0!</v>
      </c>
      <c r="BC22" s="63">
        <f t="shared" si="28"/>
        <v>74872077</v>
      </c>
      <c r="BD22" s="63">
        <f t="shared" si="25"/>
        <v>0</v>
      </c>
      <c r="BE22" s="63">
        <f t="shared" si="29"/>
        <v>0</v>
      </c>
      <c r="BF22" s="63">
        <f t="shared" si="30"/>
        <v>0</v>
      </c>
    </row>
    <row r="23" spans="2:58" x14ac:dyDescent="0.35">
      <c r="B23" s="18"/>
      <c r="C23" s="18"/>
      <c r="D23" s="18"/>
      <c r="E23" s="17"/>
      <c r="F23" s="7"/>
      <c r="G23" s="7"/>
      <c r="H23" s="17"/>
      <c r="I23" s="17"/>
      <c r="J23" s="7"/>
      <c r="K23" s="7"/>
      <c r="L23" s="17"/>
      <c r="M23" s="17"/>
      <c r="N23" s="7"/>
      <c r="O23" s="7"/>
      <c r="P23" s="17"/>
      <c r="Q23" s="17"/>
      <c r="R23" s="7"/>
      <c r="S23" s="7"/>
      <c r="T23" s="17"/>
      <c r="U23" s="1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7"/>
      <c r="BB23" s="7"/>
      <c r="BC23" s="4"/>
      <c r="BD23" s="4"/>
      <c r="BE23" s="4"/>
      <c r="BF23" s="4"/>
    </row>
    <row r="24" spans="2:58" x14ac:dyDescent="0.35">
      <c r="B24" s="4"/>
      <c r="C24" s="4" t="s">
        <v>12</v>
      </c>
      <c r="D24" s="5">
        <f t="shared" ref="D24:AM24" si="33">SUM(D7:D23)</f>
        <v>325</v>
      </c>
      <c r="E24" s="5">
        <f t="shared" si="33"/>
        <v>2497670974</v>
      </c>
      <c r="F24" s="10">
        <f t="shared" si="33"/>
        <v>1</v>
      </c>
      <c r="G24" s="10">
        <f t="shared" si="33"/>
        <v>1</v>
      </c>
      <c r="H24" s="5">
        <f>SUM(H7:H23)</f>
        <v>311</v>
      </c>
      <c r="I24" s="5">
        <f t="shared" si="33"/>
        <v>2328068221</v>
      </c>
      <c r="J24" s="10">
        <f t="shared" si="33"/>
        <v>0.99999999999999989</v>
      </c>
      <c r="K24" s="10">
        <f t="shared" si="33"/>
        <v>1</v>
      </c>
      <c r="L24" s="5">
        <f t="shared" si="33"/>
        <v>311</v>
      </c>
      <c r="M24" s="5">
        <f t="shared" si="33"/>
        <v>2168729342</v>
      </c>
      <c r="N24" s="10">
        <f t="shared" si="33"/>
        <v>0.99999999999999989</v>
      </c>
      <c r="O24" s="10">
        <f t="shared" si="33"/>
        <v>1</v>
      </c>
      <c r="P24" s="5">
        <f t="shared" si="33"/>
        <v>0</v>
      </c>
      <c r="Q24" s="5">
        <f t="shared" si="33"/>
        <v>0</v>
      </c>
      <c r="R24" s="10" t="e">
        <f t="shared" si="33"/>
        <v>#DIV/0!</v>
      </c>
      <c r="S24" s="10" t="e">
        <f t="shared" si="33"/>
        <v>#DIV/0!</v>
      </c>
      <c r="T24" s="5">
        <f t="shared" si="33"/>
        <v>0</v>
      </c>
      <c r="U24" s="5">
        <f t="shared" si="33"/>
        <v>0</v>
      </c>
      <c r="V24" s="10" t="e">
        <f t="shared" si="33"/>
        <v>#DIV/0!</v>
      </c>
      <c r="W24" s="10" t="e">
        <f t="shared" si="33"/>
        <v>#DIV/0!</v>
      </c>
      <c r="X24" s="5">
        <f t="shared" si="33"/>
        <v>0</v>
      </c>
      <c r="Y24" s="5">
        <f t="shared" si="33"/>
        <v>0</v>
      </c>
      <c r="Z24" s="10" t="e">
        <f t="shared" si="33"/>
        <v>#DIV/0!</v>
      </c>
      <c r="AA24" s="10" t="e">
        <f t="shared" si="33"/>
        <v>#DIV/0!</v>
      </c>
      <c r="AB24" s="5">
        <f t="shared" si="33"/>
        <v>0</v>
      </c>
      <c r="AC24" s="5">
        <f t="shared" si="33"/>
        <v>0</v>
      </c>
      <c r="AD24" s="10" t="e">
        <f t="shared" si="33"/>
        <v>#DIV/0!</v>
      </c>
      <c r="AE24" s="10" t="e">
        <f t="shared" si="33"/>
        <v>#DIV/0!</v>
      </c>
      <c r="AF24" s="5">
        <f t="shared" si="33"/>
        <v>0</v>
      </c>
      <c r="AG24" s="5">
        <f t="shared" si="33"/>
        <v>0</v>
      </c>
      <c r="AH24" s="10" t="e">
        <f t="shared" si="33"/>
        <v>#DIV/0!</v>
      </c>
      <c r="AI24" s="10" t="e">
        <f t="shared" si="33"/>
        <v>#DIV/0!</v>
      </c>
      <c r="AJ24" s="5">
        <f t="shared" si="33"/>
        <v>0</v>
      </c>
      <c r="AK24" s="5">
        <f t="shared" si="33"/>
        <v>0</v>
      </c>
      <c r="AL24" s="10" t="e">
        <f t="shared" si="33"/>
        <v>#DIV/0!</v>
      </c>
      <c r="AM24" s="10" t="e">
        <f t="shared" si="33"/>
        <v>#DIV/0!</v>
      </c>
      <c r="AN24" s="5">
        <f>SUM(AN7:AN22)</f>
        <v>0</v>
      </c>
      <c r="AO24" s="5">
        <f>SUM(AO7:AO23)</f>
        <v>0</v>
      </c>
      <c r="AP24" s="10" t="e">
        <f>SUM(AP7:AP23)</f>
        <v>#DIV/0!</v>
      </c>
      <c r="AQ24" s="10" t="e">
        <f>SUM(AQ7:AQ23)</f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 t="shared" ref="AW24:BF24" si="34">SUM(AW7:AW23)</f>
        <v>0</v>
      </c>
      <c r="AX24" s="10" t="e">
        <f t="shared" si="34"/>
        <v>#DIV/0!</v>
      </c>
      <c r="AY24" s="10" t="e">
        <f t="shared" si="34"/>
        <v>#DIV/0!</v>
      </c>
      <c r="AZ24" s="5">
        <f t="shared" si="34"/>
        <v>6582241119</v>
      </c>
      <c r="BA24" s="10" t="e">
        <f>SUM(BA7:BA23)</f>
        <v>#DIV/0!</v>
      </c>
      <c r="BB24" s="10" t="e">
        <f t="shared" si="34"/>
        <v>#DIV/0!</v>
      </c>
      <c r="BC24" s="5">
        <f t="shared" si="34"/>
        <v>6994468537</v>
      </c>
      <c r="BD24" s="5">
        <f t="shared" si="34"/>
        <v>0</v>
      </c>
      <c r="BE24" s="5">
        <f t="shared" si="34"/>
        <v>0</v>
      </c>
      <c r="BF24" s="5">
        <f t="shared" si="34"/>
        <v>0</v>
      </c>
    </row>
    <row r="25" spans="2:58" x14ac:dyDescent="0.3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8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 t="s">
        <v>81</v>
      </c>
      <c r="AX26" s="1" t="s">
        <v>59</v>
      </c>
      <c r="AY26" s="1" t="s">
        <v>60</v>
      </c>
      <c r="AZ26" s="1">
        <f>BC10+BC16+BC17</f>
        <v>3470779539</v>
      </c>
      <c r="BA26" s="1"/>
      <c r="BB26" s="1"/>
    </row>
    <row r="27" spans="2:58" x14ac:dyDescent="0.35">
      <c r="AY27" s="1" t="s">
        <v>61</v>
      </c>
      <c r="AZ27" s="8">
        <f>BC7+BC8+BC9+BC11+BC12+BC14+BC15+BC18+BC19+BC20+BC21+BC22</f>
        <v>3111461580</v>
      </c>
    </row>
    <row r="29" spans="2:58" x14ac:dyDescent="0.35">
      <c r="AK29" s="31"/>
      <c r="AW29" s="1" t="s">
        <v>82</v>
      </c>
      <c r="AX29" t="s">
        <v>62</v>
      </c>
      <c r="AY29" s="1" t="s">
        <v>60</v>
      </c>
      <c r="AZ29" s="1">
        <f>BD10+BD16+BD17</f>
        <v>0</v>
      </c>
    </row>
    <row r="30" spans="2:58" x14ac:dyDescent="0.35">
      <c r="AK30" s="31"/>
      <c r="AY30" s="1" t="s">
        <v>61</v>
      </c>
      <c r="AZ30" s="8">
        <f>BD7+BD8+BD9+BD11+BD12+BD14+BD15+BD18+BD19+BD20+BD21+BD22</f>
        <v>0</v>
      </c>
    </row>
    <row r="31" spans="2:58" x14ac:dyDescent="0.35">
      <c r="AK31" s="31"/>
    </row>
    <row r="32" spans="2:58" x14ac:dyDescent="0.35">
      <c r="AK32" s="31"/>
      <c r="AW32" s="1" t="s">
        <v>83</v>
      </c>
      <c r="AX32" s="1" t="s">
        <v>59</v>
      </c>
      <c r="AY32" s="1" t="s">
        <v>60</v>
      </c>
      <c r="AZ32" s="1">
        <f>BE10+BE16+BE17</f>
        <v>0</v>
      </c>
    </row>
    <row r="33" spans="37:52" x14ac:dyDescent="0.35">
      <c r="AK33" s="31"/>
      <c r="AY33" s="1" t="s">
        <v>61</v>
      </c>
      <c r="AZ33" s="8">
        <f>BE7+BE8+BE9+BE11+BE12+BE14+BE15+BE18+BE19+BE20+BE21+BE22</f>
        <v>0</v>
      </c>
    </row>
    <row r="34" spans="37:52" x14ac:dyDescent="0.35">
      <c r="AK34" s="31"/>
    </row>
    <row r="35" spans="37:52" x14ac:dyDescent="0.35">
      <c r="AK35" s="32"/>
      <c r="AW35" s="1" t="s">
        <v>84</v>
      </c>
      <c r="AX35" t="s">
        <v>62</v>
      </c>
      <c r="AY35" s="1" t="s">
        <v>60</v>
      </c>
      <c r="AZ35" s="1">
        <f>BF10+BF16+BF17</f>
        <v>0</v>
      </c>
    </row>
    <row r="36" spans="37:52" x14ac:dyDescent="0.35">
      <c r="AY36" s="1" t="s">
        <v>61</v>
      </c>
      <c r="AZ36" s="8">
        <f>BF7+BF8+BF9+BF11+BF12+BF14+BF15+BF18+BF19+BF20+BF21+BF22</f>
        <v>0</v>
      </c>
    </row>
    <row r="37" spans="37:52" x14ac:dyDescent="0.35">
      <c r="AY37" s="1"/>
      <c r="AZ37" s="8"/>
    </row>
  </sheetData>
  <mergeCells count="13">
    <mergeCell ref="T5:U5"/>
    <mergeCell ref="D5:G5"/>
    <mergeCell ref="H5:I5"/>
    <mergeCell ref="L5:M5"/>
    <mergeCell ref="P5:Q5"/>
    <mergeCell ref="AV5:AW5"/>
    <mergeCell ref="BC5:BF5"/>
    <mergeCell ref="X5:Y5"/>
    <mergeCell ref="AB5:AC5"/>
    <mergeCell ref="AF5:AG5"/>
    <mergeCell ref="AJ5:AK5"/>
    <mergeCell ref="AN5:AO5"/>
    <mergeCell ref="AR5:AS5"/>
  </mergeCells>
  <conditionalFormatting sqref="E23">
    <cfRule type="top10" dxfId="577" priority="31" bottom="1" rank="1"/>
    <cfRule type="top10" dxfId="576" priority="32" rank="1"/>
  </conditionalFormatting>
  <conditionalFormatting sqref="I23">
    <cfRule type="top10" dxfId="575" priority="29" bottom="1" rank="1"/>
    <cfRule type="top10" dxfId="574" priority="30" rank="1"/>
  </conditionalFormatting>
  <conditionalFormatting sqref="M23">
    <cfRule type="top10" dxfId="573" priority="27" bottom="1" rank="1"/>
    <cfRule type="top10" dxfId="572" priority="28" rank="1"/>
  </conditionalFormatting>
  <conditionalFormatting sqref="Q23">
    <cfRule type="top10" dxfId="571" priority="25" bottom="1" rank="1"/>
    <cfRule type="top10" dxfId="570" priority="26" rank="1"/>
  </conditionalFormatting>
  <conditionalFormatting sqref="U23">
    <cfRule type="top10" dxfId="569" priority="23" bottom="1" rank="1"/>
    <cfRule type="top10" dxfId="568" priority="24" rank="1"/>
  </conditionalFormatting>
  <conditionalFormatting sqref="Y23">
    <cfRule type="top10" dxfId="567" priority="21" bottom="1" rank="1"/>
    <cfRule type="top10" dxfId="566" priority="22" rank="1"/>
  </conditionalFormatting>
  <conditionalFormatting sqref="AC23">
    <cfRule type="top10" dxfId="565" priority="19" bottom="1" rank="1"/>
    <cfRule type="top10" dxfId="564" priority="20" rank="1"/>
  </conditionalFormatting>
  <conditionalFormatting sqref="AG23">
    <cfRule type="top10" dxfId="563" priority="17" bottom="1" rank="1"/>
    <cfRule type="top10" dxfId="562" priority="18" rank="1"/>
  </conditionalFormatting>
  <conditionalFormatting sqref="AK23">
    <cfRule type="top10" dxfId="561" priority="15" bottom="1" rank="1"/>
    <cfRule type="top10" dxfId="560" priority="16" rank="1"/>
  </conditionalFormatting>
  <conditionalFormatting sqref="AO23">
    <cfRule type="top10" dxfId="559" priority="13" bottom="1" rank="1"/>
    <cfRule type="top10" dxfId="558" priority="14" rank="1"/>
  </conditionalFormatting>
  <conditionalFormatting sqref="AS23">
    <cfRule type="top10" dxfId="557" priority="11" bottom="1" rank="1"/>
    <cfRule type="top10" dxfId="556" priority="12" rank="1"/>
  </conditionalFormatting>
  <conditionalFormatting sqref="AW23">
    <cfRule type="top10" dxfId="555" priority="9" bottom="1" rank="1"/>
    <cfRule type="top10" dxfId="554" priority="10" rank="1"/>
  </conditionalFormatting>
  <conditionalFormatting sqref="AZ7:AZ23">
    <cfRule type="top10" dxfId="553" priority="713" bottom="1" rank="1"/>
    <cfRule type="top10" dxfId="552" priority="714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B1:BF37"/>
  <sheetViews>
    <sheetView zoomScale="70" zoomScaleNormal="70" workbookViewId="0">
      <pane xSplit="3" ySplit="6" topLeftCell="D7" activePane="bottomRight" state="frozen"/>
      <selection activeCell="N16" sqref="N16"/>
      <selection pane="topRight" activeCell="N16" sqref="N16"/>
      <selection pane="bottomLeft" activeCell="N16" sqref="N16"/>
      <selection pane="bottomRight" activeCell="H31" sqref="H31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7" width="8.1796875" customWidth="1"/>
    <col min="8" max="8" width="6.26953125" customWidth="1"/>
    <col min="9" max="9" width="14.54296875" bestFit="1" customWidth="1"/>
    <col min="10" max="11" width="8.1796875" customWidth="1"/>
    <col min="12" max="12" width="6.26953125" customWidth="1"/>
    <col min="13" max="13" width="14.54296875" bestFit="1" customWidth="1"/>
    <col min="14" max="15" width="8" customWidth="1"/>
    <col min="16" max="16" width="6.26953125" customWidth="1"/>
    <col min="17" max="17" width="17.54296875" bestFit="1" customWidth="1"/>
    <col min="18" max="19" width="8.1796875" bestFit="1" customWidth="1"/>
    <col min="20" max="20" width="6.26953125" customWidth="1"/>
    <col min="21" max="21" width="15.26953125" bestFit="1" customWidth="1"/>
    <col min="22" max="23" width="8" customWidth="1"/>
    <col min="24" max="24" width="6.26953125" customWidth="1"/>
    <col min="25" max="25" width="14.81640625" bestFit="1" customWidth="1"/>
    <col min="26" max="27" width="8.1796875" customWidth="1"/>
    <col min="28" max="28" width="6.26953125" customWidth="1"/>
    <col min="29" max="29" width="15.26953125" bestFit="1" customWidth="1"/>
    <col min="30" max="31" width="8.1796875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6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8.1796875" customWidth="1"/>
    <col min="48" max="48" width="6.26953125" customWidth="1"/>
    <col min="49" max="49" width="15.81640625" bestFit="1" customWidth="1"/>
    <col min="50" max="50" width="8.1796875" customWidth="1"/>
    <col min="51" max="51" width="16.26953125" bestFit="1" customWidth="1"/>
    <col min="52" max="52" width="15.81640625" bestFit="1" customWidth="1"/>
    <col min="53" max="53" width="8.1796875" customWidth="1"/>
    <col min="54" max="54" width="8.26953125" customWidth="1"/>
    <col min="55" max="58" width="15.81640625" customWidth="1"/>
  </cols>
  <sheetData>
    <row r="1" spans="2:58" x14ac:dyDescent="0.35">
      <c r="B1" t="s">
        <v>56</v>
      </c>
      <c r="AW1" s="8"/>
      <c r="AZ1" s="8"/>
    </row>
    <row r="2" spans="2:58" x14ac:dyDescent="0.35">
      <c r="B2" t="s">
        <v>57</v>
      </c>
      <c r="AS2" s="55" t="s">
        <v>58</v>
      </c>
      <c r="AW2" s="8"/>
      <c r="AZ2" s="8"/>
    </row>
    <row r="3" spans="2:58" x14ac:dyDescent="0.35">
      <c r="B3" t="s">
        <v>79</v>
      </c>
      <c r="AO3" s="6"/>
    </row>
    <row r="4" spans="2:58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  <c r="BC5" s="72">
        <v>2025</v>
      </c>
      <c r="BD5" s="72"/>
      <c r="BE5" s="72"/>
      <c r="BF5" s="72"/>
    </row>
    <row r="6" spans="2:58" s="14" customFormat="1" ht="29" x14ac:dyDescent="0.35">
      <c r="B6" s="12"/>
      <c r="C6" s="12"/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32</v>
      </c>
      <c r="BA6" s="13" t="s">
        <v>27</v>
      </c>
      <c r="BB6" s="13" t="s">
        <v>28</v>
      </c>
      <c r="BC6" s="64" t="s">
        <v>75</v>
      </c>
      <c r="BD6" s="64" t="s">
        <v>76</v>
      </c>
      <c r="BE6" s="64" t="s">
        <v>77</v>
      </c>
      <c r="BF6" s="64" t="s">
        <v>78</v>
      </c>
    </row>
    <row r="7" spans="2:58" s="6" customFormat="1" x14ac:dyDescent="0.35">
      <c r="B7" s="23">
        <v>1</v>
      </c>
      <c r="C7" s="3" t="s">
        <v>31</v>
      </c>
      <c r="D7" s="7">
        <v>2</v>
      </c>
      <c r="E7" s="7">
        <v>105169321</v>
      </c>
      <c r="F7" s="11">
        <f t="shared" ref="F7:F13" si="0">D7/$D$24</f>
        <v>1.6E-2</v>
      </c>
      <c r="G7" s="11">
        <f t="shared" ref="G7:G13" si="1">E7/$E$24</f>
        <v>7.4254093539803723E-2</v>
      </c>
      <c r="H7" s="24">
        <v>2</v>
      </c>
      <c r="I7" s="24">
        <v>75504329</v>
      </c>
      <c r="J7" s="11">
        <f t="shared" ref="J7:J13" si="2">H7/$H$24</f>
        <v>1.6129032258064516E-2</v>
      </c>
      <c r="K7" s="11">
        <f t="shared" ref="K7:K13" si="3">I7/$I$24</f>
        <v>6.104085582076052E-2</v>
      </c>
      <c r="L7" s="24">
        <v>2</v>
      </c>
      <c r="M7" s="24">
        <v>74124788</v>
      </c>
      <c r="N7" s="11">
        <f t="shared" ref="N7:N13" si="4">L7/$L$24</f>
        <v>1.6129032258064516E-2</v>
      </c>
      <c r="O7" s="11">
        <f t="shared" ref="O7:O13" si="5">M7/$M$24</f>
        <v>6.183348551671649E-2</v>
      </c>
      <c r="P7" s="19"/>
      <c r="Q7" s="19"/>
      <c r="R7" s="11" t="e">
        <f t="shared" ref="R7:R13" si="6">P7/$P$24</f>
        <v>#DIV/0!</v>
      </c>
      <c r="S7" s="11" t="e">
        <f t="shared" ref="S7:S13" si="7">Q7/$Q$24</f>
        <v>#DIV/0!</v>
      </c>
      <c r="T7" s="24"/>
      <c r="U7" s="24"/>
      <c r="V7" s="11" t="e">
        <f t="shared" ref="V7:V13" si="8">T7/$T$24</f>
        <v>#DIV/0!</v>
      </c>
      <c r="W7" s="11" t="e">
        <f t="shared" ref="W7:W13" si="9">U7/$U$24</f>
        <v>#DIV/0!</v>
      </c>
      <c r="X7" s="24"/>
      <c r="Y7" s="24"/>
      <c r="Z7" s="11" t="e">
        <f t="shared" ref="Z7:Z13" si="10">X7/$X$24</f>
        <v>#DIV/0!</v>
      </c>
      <c r="AA7" s="11" t="e">
        <f t="shared" ref="AA7:AA13" si="11">Y7/$Y$24</f>
        <v>#DIV/0!</v>
      </c>
      <c r="AB7" s="25"/>
      <c r="AC7" s="24"/>
      <c r="AD7" s="11" t="e">
        <f t="shared" ref="AD7:AD13" si="12">AB7/$AB$24</f>
        <v>#DIV/0!</v>
      </c>
      <c r="AE7" s="11" t="e">
        <f t="shared" ref="AE7:AE13" si="13">AC7/$AC$24</f>
        <v>#DIV/0!</v>
      </c>
      <c r="AF7" s="25"/>
      <c r="AG7" s="24"/>
      <c r="AH7" s="11" t="e">
        <f t="shared" ref="AH7:AH13" si="14">AF7/$AF$24</f>
        <v>#DIV/0!</v>
      </c>
      <c r="AI7" s="11" t="e">
        <f t="shared" ref="AI7:AI13" si="15">AG7/$AG$24</f>
        <v>#DIV/0!</v>
      </c>
      <c r="AJ7" s="25"/>
      <c r="AK7" s="25"/>
      <c r="AL7" s="11" t="e">
        <f t="shared" ref="AL7:AL13" si="16">AJ7/$AJ$24</f>
        <v>#DIV/0!</v>
      </c>
      <c r="AM7" s="11" t="e">
        <f t="shared" ref="AM7:AM13" si="17">AK7/$AK$24</f>
        <v>#DIV/0!</v>
      </c>
      <c r="AN7" s="67"/>
      <c r="AO7" s="67"/>
      <c r="AP7" s="11" t="e">
        <f t="shared" ref="AP7:AP13" si="18">AN7/$AN$24</f>
        <v>#DIV/0!</v>
      </c>
      <c r="AQ7" s="11" t="e">
        <f t="shared" ref="AQ7:AQ13" si="19">AO7/$AO$24</f>
        <v>#DIV/0!</v>
      </c>
      <c r="AR7" s="24"/>
      <c r="AS7" s="25"/>
      <c r="AT7" s="11" t="e">
        <f t="shared" ref="AT7:AT13" si="20">AR7/$AR$24</f>
        <v>#DIV/0!</v>
      </c>
      <c r="AU7" s="11" t="e">
        <f t="shared" ref="AU7:AU13" si="21">AS7/$AS$24</f>
        <v>#DIV/0!</v>
      </c>
      <c r="AV7" s="68"/>
      <c r="AW7" s="69"/>
      <c r="AX7" s="11" t="e">
        <f t="shared" ref="AX7:AX13" si="22">AV7/$AJ$24</f>
        <v>#DIV/0!</v>
      </c>
      <c r="AY7" s="11" t="e">
        <f t="shared" ref="AY7:AY13" si="23">AW7/$AK$24</f>
        <v>#DIV/0!</v>
      </c>
      <c r="AZ7" s="19">
        <f t="shared" ref="AZ7:AZ12" si="24">E7+I7+M7+Q7+U7+Y7+AC7+AG7+AK7+AO7+AS7+AW7</f>
        <v>254798438</v>
      </c>
      <c r="BA7" s="11" t="e">
        <f t="shared" ref="BA7:BA22" si="25">AVERAGE(F7,J7,N7,R7,V7,Z7,AD7,AH7,AL7,AP7,AT7,AX7)</f>
        <v>#DIV/0!</v>
      </c>
      <c r="BB7" s="11" t="e">
        <f t="shared" ref="BB7:BB22" si="26">AVERAGE(G7,K7,O7,S7,W7,AA7,AE7,AI7,AM7,AQ7,AU7,AY7)</f>
        <v>#DIV/0!</v>
      </c>
      <c r="BC7" s="63">
        <f t="shared" ref="BC7:BC22" si="27">E7+I7+M7</f>
        <v>254798438</v>
      </c>
      <c r="BD7" s="63">
        <f t="shared" ref="BD7:BD22" si="28">Q7+U7+Y7</f>
        <v>0</v>
      </c>
      <c r="BE7" s="63">
        <f>AC7+AG7+AK7</f>
        <v>0</v>
      </c>
      <c r="BF7" s="63">
        <f>AO7+AS7+AW7</f>
        <v>0</v>
      </c>
    </row>
    <row r="8" spans="2:58" x14ac:dyDescent="0.35">
      <c r="B8" s="3">
        <f>B7+1</f>
        <v>2</v>
      </c>
      <c r="C8" s="3" t="s">
        <v>17</v>
      </c>
      <c r="D8" s="7">
        <v>10</v>
      </c>
      <c r="E8" s="7">
        <v>124852645</v>
      </c>
      <c r="F8" s="11">
        <f t="shared" si="0"/>
        <v>0.08</v>
      </c>
      <c r="G8" s="11">
        <f t="shared" si="1"/>
        <v>8.8151372399959751E-2</v>
      </c>
      <c r="H8" s="20">
        <v>10</v>
      </c>
      <c r="I8" s="7">
        <v>115094497</v>
      </c>
      <c r="J8" s="11">
        <f t="shared" si="2"/>
        <v>8.0645161290322578E-2</v>
      </c>
      <c r="K8" s="11">
        <f t="shared" si="3"/>
        <v>9.3047202593376524E-2</v>
      </c>
      <c r="L8" s="20">
        <v>10</v>
      </c>
      <c r="M8" s="7">
        <v>110226902</v>
      </c>
      <c r="N8" s="11">
        <f t="shared" si="4"/>
        <v>8.0645161290322578E-2</v>
      </c>
      <c r="O8" s="11">
        <f t="shared" si="5"/>
        <v>9.1949180999607416E-2</v>
      </c>
      <c r="P8" s="20"/>
      <c r="Q8" s="7"/>
      <c r="R8" s="11" t="e">
        <f t="shared" si="6"/>
        <v>#DIV/0!</v>
      </c>
      <c r="S8" s="11" t="e">
        <f t="shared" si="7"/>
        <v>#DIV/0!</v>
      </c>
      <c r="T8" s="20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7"/>
      <c r="AC8" s="20"/>
      <c r="AD8" s="11" t="e">
        <f t="shared" si="12"/>
        <v>#DIV/0!</v>
      </c>
      <c r="AE8" s="11" t="e">
        <f t="shared" si="13"/>
        <v>#DIV/0!</v>
      </c>
      <c r="AF8" s="7"/>
      <c r="AG8" s="7"/>
      <c r="AH8" s="11" t="e">
        <f t="shared" si="14"/>
        <v>#DIV/0!</v>
      </c>
      <c r="AI8" s="11" t="e">
        <f t="shared" si="15"/>
        <v>#DIV/0!</v>
      </c>
      <c r="AJ8" s="7"/>
      <c r="AK8" s="7"/>
      <c r="AL8" s="11" t="e">
        <f t="shared" si="16"/>
        <v>#DIV/0!</v>
      </c>
      <c r="AM8" s="11" t="e">
        <f t="shared" si="17"/>
        <v>#DIV/0!</v>
      </c>
      <c r="AN8" s="66"/>
      <c r="AO8" s="65"/>
      <c r="AP8" s="11" t="e">
        <f t="shared" si="18"/>
        <v>#DIV/0!</v>
      </c>
      <c r="AQ8" s="11" t="e">
        <f t="shared" si="19"/>
        <v>#DIV/0!</v>
      </c>
      <c r="AR8" s="7"/>
      <c r="AS8" s="7"/>
      <c r="AT8" s="11" t="e">
        <f t="shared" si="20"/>
        <v>#DIV/0!</v>
      </c>
      <c r="AU8" s="11" t="e">
        <f t="shared" si="21"/>
        <v>#DIV/0!</v>
      </c>
      <c r="AV8" s="68"/>
      <c r="AW8" s="69"/>
      <c r="AX8" s="11" t="e">
        <f t="shared" si="22"/>
        <v>#DIV/0!</v>
      </c>
      <c r="AY8" s="11" t="e">
        <f t="shared" si="23"/>
        <v>#DIV/0!</v>
      </c>
      <c r="AZ8" s="19">
        <f t="shared" si="24"/>
        <v>350174044</v>
      </c>
      <c r="BA8" s="11" t="e">
        <f t="shared" si="25"/>
        <v>#DIV/0!</v>
      </c>
      <c r="BB8" s="11" t="e">
        <f t="shared" si="26"/>
        <v>#DIV/0!</v>
      </c>
      <c r="BC8" s="63">
        <f t="shared" si="27"/>
        <v>350174044</v>
      </c>
      <c r="BD8" s="63">
        <f t="shared" si="28"/>
        <v>0</v>
      </c>
      <c r="BE8" s="63">
        <f t="shared" ref="BE8:BE22" si="29">AC8+AG8+AK8</f>
        <v>0</v>
      </c>
      <c r="BF8" s="63">
        <f t="shared" ref="BF8:BF22" si="30">AO8+AS8+AW8</f>
        <v>0</v>
      </c>
    </row>
    <row r="9" spans="2:58" x14ac:dyDescent="0.35">
      <c r="B9" s="3">
        <f t="shared" ref="B9:B22" si="31">B8+1</f>
        <v>3</v>
      </c>
      <c r="C9" s="3" t="s">
        <v>18</v>
      </c>
      <c r="D9" s="7">
        <v>6</v>
      </c>
      <c r="E9" s="7">
        <v>113538590</v>
      </c>
      <c r="F9" s="11">
        <f t="shared" si="0"/>
        <v>4.8000000000000001E-2</v>
      </c>
      <c r="G9" s="11">
        <f t="shared" si="1"/>
        <v>8.0163159770114165E-2</v>
      </c>
      <c r="H9" s="20">
        <v>6</v>
      </c>
      <c r="I9" s="7">
        <v>101460362</v>
      </c>
      <c r="J9" s="11">
        <f t="shared" si="2"/>
        <v>4.8387096774193547E-2</v>
      </c>
      <c r="K9" s="11">
        <f t="shared" si="3"/>
        <v>8.2024797920714848E-2</v>
      </c>
      <c r="L9" s="20">
        <v>6</v>
      </c>
      <c r="M9" s="7">
        <v>98664021</v>
      </c>
      <c r="N9" s="11">
        <f t="shared" si="4"/>
        <v>4.8387096774193547E-2</v>
      </c>
      <c r="O9" s="11">
        <f t="shared" si="5"/>
        <v>8.2303646028970917E-2</v>
      </c>
      <c r="P9" s="20"/>
      <c r="Q9" s="7"/>
      <c r="R9" s="11" t="e">
        <f t="shared" si="6"/>
        <v>#DIV/0!</v>
      </c>
      <c r="S9" s="11" t="e">
        <f t="shared" si="7"/>
        <v>#DIV/0!</v>
      </c>
      <c r="T9" s="20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7"/>
      <c r="AC9" s="20"/>
      <c r="AD9" s="11" t="e">
        <f t="shared" si="12"/>
        <v>#DIV/0!</v>
      </c>
      <c r="AE9" s="11" t="e">
        <f t="shared" si="13"/>
        <v>#DIV/0!</v>
      </c>
      <c r="AF9" s="7"/>
      <c r="AG9" s="7"/>
      <c r="AH9" s="11" t="e">
        <f t="shared" si="14"/>
        <v>#DIV/0!</v>
      </c>
      <c r="AI9" s="11" t="e">
        <f t="shared" si="15"/>
        <v>#DIV/0!</v>
      </c>
      <c r="AJ9" s="7"/>
      <c r="AK9" s="7"/>
      <c r="AL9" s="11" t="e">
        <f t="shared" si="16"/>
        <v>#DIV/0!</v>
      </c>
      <c r="AM9" s="11" t="e">
        <f t="shared" si="17"/>
        <v>#DIV/0!</v>
      </c>
      <c r="AN9" s="66"/>
      <c r="AO9" s="65"/>
      <c r="AP9" s="11" t="e">
        <f t="shared" si="18"/>
        <v>#DIV/0!</v>
      </c>
      <c r="AQ9" s="11" t="e">
        <f t="shared" si="19"/>
        <v>#DIV/0!</v>
      </c>
      <c r="AR9" s="7"/>
      <c r="AS9" s="7"/>
      <c r="AT9" s="11" t="e">
        <f t="shared" si="20"/>
        <v>#DIV/0!</v>
      </c>
      <c r="AU9" s="11" t="e">
        <f t="shared" si="21"/>
        <v>#DIV/0!</v>
      </c>
      <c r="AV9" s="68"/>
      <c r="AW9" s="69"/>
      <c r="AX9" s="11" t="e">
        <f t="shared" si="22"/>
        <v>#DIV/0!</v>
      </c>
      <c r="AY9" s="11" t="e">
        <f t="shared" si="23"/>
        <v>#DIV/0!</v>
      </c>
      <c r="AZ9" s="19">
        <f t="shared" si="24"/>
        <v>313662973</v>
      </c>
      <c r="BA9" s="11" t="e">
        <f t="shared" si="25"/>
        <v>#DIV/0!</v>
      </c>
      <c r="BB9" s="11" t="e">
        <f t="shared" si="26"/>
        <v>#DIV/0!</v>
      </c>
      <c r="BC9" s="63">
        <f t="shared" si="27"/>
        <v>313662973</v>
      </c>
      <c r="BD9" s="63">
        <f t="shared" si="28"/>
        <v>0</v>
      </c>
      <c r="BE9" s="63">
        <f t="shared" si="29"/>
        <v>0</v>
      </c>
      <c r="BF9" s="63">
        <f t="shared" si="30"/>
        <v>0</v>
      </c>
    </row>
    <row r="10" spans="2:58" x14ac:dyDescent="0.35">
      <c r="B10" s="3">
        <f t="shared" si="31"/>
        <v>4</v>
      </c>
      <c r="C10" s="3" t="s">
        <v>19</v>
      </c>
      <c r="D10" s="7">
        <v>5</v>
      </c>
      <c r="E10" s="7">
        <v>41186778</v>
      </c>
      <c r="F10" s="11">
        <f t="shared" si="0"/>
        <v>0.04</v>
      </c>
      <c r="G10" s="11">
        <f t="shared" si="1"/>
        <v>2.9079648296057078E-2</v>
      </c>
      <c r="H10" s="7">
        <v>5</v>
      </c>
      <c r="I10" s="7">
        <v>37394897</v>
      </c>
      <c r="J10" s="11">
        <f t="shared" si="2"/>
        <v>4.0322580645161289E-2</v>
      </c>
      <c r="K10" s="11">
        <f t="shared" si="3"/>
        <v>3.0231597928764987E-2</v>
      </c>
      <c r="L10" s="7">
        <v>5</v>
      </c>
      <c r="M10" s="7">
        <v>38949927</v>
      </c>
      <c r="N10" s="11">
        <f t="shared" si="4"/>
        <v>4.0322580645161289E-2</v>
      </c>
      <c r="O10" s="11">
        <f t="shared" si="5"/>
        <v>3.2491286815304811E-2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20"/>
      <c r="AG10" s="20"/>
      <c r="AH10" s="11" t="e">
        <f t="shared" si="14"/>
        <v>#DIV/0!</v>
      </c>
      <c r="AI10" s="11" t="e">
        <f t="shared" si="15"/>
        <v>#DIV/0!</v>
      </c>
      <c r="AJ10" s="20"/>
      <c r="AK10" s="7"/>
      <c r="AL10" s="11" t="e">
        <f t="shared" si="16"/>
        <v>#DIV/0!</v>
      </c>
      <c r="AM10" s="11" t="e">
        <f t="shared" si="17"/>
        <v>#DIV/0!</v>
      </c>
      <c r="AN10" s="65"/>
      <c r="AO10" s="65"/>
      <c r="AP10" s="11" t="e">
        <f t="shared" si="18"/>
        <v>#DIV/0!</v>
      </c>
      <c r="AQ10" s="11" t="e">
        <f t="shared" si="19"/>
        <v>#DIV/0!</v>
      </c>
      <c r="AR10" s="7"/>
      <c r="AS10" s="7"/>
      <c r="AT10" s="11" t="e">
        <f t="shared" si="20"/>
        <v>#DIV/0!</v>
      </c>
      <c r="AU10" s="11" t="e">
        <f t="shared" si="21"/>
        <v>#DIV/0!</v>
      </c>
      <c r="AV10" s="68"/>
      <c r="AW10" s="69"/>
      <c r="AX10" s="11" t="e">
        <f t="shared" si="22"/>
        <v>#DIV/0!</v>
      </c>
      <c r="AY10" s="11" t="e">
        <f t="shared" si="23"/>
        <v>#DIV/0!</v>
      </c>
      <c r="AZ10" s="19">
        <f t="shared" si="24"/>
        <v>117531602</v>
      </c>
      <c r="BA10" s="11" t="e">
        <f t="shared" si="25"/>
        <v>#DIV/0!</v>
      </c>
      <c r="BB10" s="11" t="e">
        <f t="shared" si="26"/>
        <v>#DIV/0!</v>
      </c>
      <c r="BC10" s="63">
        <f t="shared" si="27"/>
        <v>117531602</v>
      </c>
      <c r="BD10" s="63">
        <f t="shared" si="28"/>
        <v>0</v>
      </c>
      <c r="BE10" s="63">
        <f t="shared" si="29"/>
        <v>0</v>
      </c>
      <c r="BF10" s="63">
        <f t="shared" si="30"/>
        <v>0</v>
      </c>
    </row>
    <row r="11" spans="2:58" x14ac:dyDescent="0.35">
      <c r="B11" s="3">
        <f t="shared" si="31"/>
        <v>5</v>
      </c>
      <c r="C11" s="3" t="s">
        <v>20</v>
      </c>
      <c r="D11" s="7">
        <v>3</v>
      </c>
      <c r="E11" s="7">
        <v>42078527</v>
      </c>
      <c r="F11" s="11">
        <f t="shared" si="0"/>
        <v>2.4E-2</v>
      </c>
      <c r="G11" s="11">
        <f t="shared" si="1"/>
        <v>2.9709261695006629E-2</v>
      </c>
      <c r="H11" s="7">
        <v>3</v>
      </c>
      <c r="I11" s="7">
        <v>40066151</v>
      </c>
      <c r="J11" s="11">
        <f t="shared" si="2"/>
        <v>2.4193548387096774E-2</v>
      </c>
      <c r="K11" s="11">
        <f t="shared" si="3"/>
        <v>3.2391151327016234E-2</v>
      </c>
      <c r="L11" s="7">
        <v>3</v>
      </c>
      <c r="M11" s="7">
        <v>37753008</v>
      </c>
      <c r="N11" s="11">
        <f t="shared" si="4"/>
        <v>2.4193548387096774E-2</v>
      </c>
      <c r="O11" s="11">
        <f t="shared" si="5"/>
        <v>3.1492839795784398E-2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20"/>
      <c r="AG11" s="20"/>
      <c r="AH11" s="11" t="e">
        <f t="shared" si="14"/>
        <v>#DIV/0!</v>
      </c>
      <c r="AI11" s="11" t="e">
        <f t="shared" si="15"/>
        <v>#DIV/0!</v>
      </c>
      <c r="AJ11" s="20"/>
      <c r="AK11" s="7"/>
      <c r="AL11" s="11" t="e">
        <f t="shared" si="16"/>
        <v>#DIV/0!</v>
      </c>
      <c r="AM11" s="11" t="e">
        <f t="shared" si="17"/>
        <v>#DIV/0!</v>
      </c>
      <c r="AN11" s="65"/>
      <c r="AO11" s="65"/>
      <c r="AP11" s="11" t="e">
        <f t="shared" si="18"/>
        <v>#DIV/0!</v>
      </c>
      <c r="AQ11" s="11" t="e">
        <f t="shared" si="19"/>
        <v>#DIV/0!</v>
      </c>
      <c r="AR11" s="7"/>
      <c r="AS11" s="7"/>
      <c r="AT11" s="11" t="e">
        <f t="shared" si="20"/>
        <v>#DIV/0!</v>
      </c>
      <c r="AU11" s="11" t="e">
        <f t="shared" si="21"/>
        <v>#DIV/0!</v>
      </c>
      <c r="AV11" s="68"/>
      <c r="AW11" s="69"/>
      <c r="AX11" s="11" t="e">
        <f t="shared" si="22"/>
        <v>#DIV/0!</v>
      </c>
      <c r="AY11" s="11" t="e">
        <f t="shared" si="23"/>
        <v>#DIV/0!</v>
      </c>
      <c r="AZ11" s="19">
        <f t="shared" si="24"/>
        <v>119897686</v>
      </c>
      <c r="BA11" s="11" t="e">
        <f t="shared" si="25"/>
        <v>#DIV/0!</v>
      </c>
      <c r="BB11" s="11" t="e">
        <f t="shared" si="26"/>
        <v>#DIV/0!</v>
      </c>
      <c r="BC11" s="63">
        <f t="shared" si="27"/>
        <v>119897686</v>
      </c>
      <c r="BD11" s="63">
        <f t="shared" si="28"/>
        <v>0</v>
      </c>
      <c r="BE11" s="63">
        <f t="shared" si="29"/>
        <v>0</v>
      </c>
      <c r="BF11" s="63">
        <f t="shared" si="30"/>
        <v>0</v>
      </c>
    </row>
    <row r="12" spans="2:58" x14ac:dyDescent="0.35">
      <c r="B12" s="3">
        <f t="shared" si="31"/>
        <v>6</v>
      </c>
      <c r="C12" s="3" t="s">
        <v>66</v>
      </c>
      <c r="D12" s="7">
        <v>7</v>
      </c>
      <c r="E12" s="7">
        <v>84679994</v>
      </c>
      <c r="F12" s="11">
        <f t="shared" si="0"/>
        <v>5.6000000000000001E-2</v>
      </c>
      <c r="G12" s="11">
        <f t="shared" si="1"/>
        <v>5.978774166875165E-2</v>
      </c>
      <c r="H12" s="7">
        <v>7</v>
      </c>
      <c r="I12" s="7">
        <v>80061210</v>
      </c>
      <c r="J12" s="11">
        <f t="shared" si="2"/>
        <v>5.6451612903225805E-2</v>
      </c>
      <c r="K12" s="11">
        <f t="shared" si="3"/>
        <v>6.4724828909420953E-2</v>
      </c>
      <c r="L12" s="7">
        <v>7</v>
      </c>
      <c r="M12" s="7">
        <v>79655941</v>
      </c>
      <c r="N12" s="11">
        <f t="shared" si="4"/>
        <v>5.6451612903225805E-2</v>
      </c>
      <c r="O12" s="11">
        <f t="shared" si="5"/>
        <v>6.6447467939387869E-2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20"/>
      <c r="AG12" s="20"/>
      <c r="AH12" s="11" t="e">
        <f t="shared" si="14"/>
        <v>#DIV/0!</v>
      </c>
      <c r="AI12" s="11" t="e">
        <f t="shared" si="15"/>
        <v>#DIV/0!</v>
      </c>
      <c r="AJ12" s="20"/>
      <c r="AK12" s="7"/>
      <c r="AL12" s="11" t="e">
        <f t="shared" si="16"/>
        <v>#DIV/0!</v>
      </c>
      <c r="AM12" s="11" t="e">
        <f t="shared" si="17"/>
        <v>#DIV/0!</v>
      </c>
      <c r="AN12" s="65"/>
      <c r="AO12" s="65"/>
      <c r="AP12" s="11" t="e">
        <f t="shared" si="18"/>
        <v>#DIV/0!</v>
      </c>
      <c r="AQ12" s="11" t="e">
        <f t="shared" si="19"/>
        <v>#DIV/0!</v>
      </c>
      <c r="AR12" s="7"/>
      <c r="AS12" s="7"/>
      <c r="AT12" s="11" t="e">
        <f t="shared" si="20"/>
        <v>#DIV/0!</v>
      </c>
      <c r="AU12" s="11" t="e">
        <f t="shared" si="21"/>
        <v>#DIV/0!</v>
      </c>
      <c r="AV12" s="68"/>
      <c r="AW12" s="69"/>
      <c r="AX12" s="11" t="e">
        <f t="shared" si="22"/>
        <v>#DIV/0!</v>
      </c>
      <c r="AY12" s="11" t="e">
        <f t="shared" si="23"/>
        <v>#DIV/0!</v>
      </c>
      <c r="AZ12" s="19">
        <f t="shared" si="24"/>
        <v>244397145</v>
      </c>
      <c r="BA12" s="11" t="e">
        <f t="shared" si="25"/>
        <v>#DIV/0!</v>
      </c>
      <c r="BB12" s="11" t="e">
        <f t="shared" si="26"/>
        <v>#DIV/0!</v>
      </c>
      <c r="BC12" s="63">
        <f t="shared" si="27"/>
        <v>244397145</v>
      </c>
      <c r="BD12" s="63">
        <f t="shared" si="28"/>
        <v>0</v>
      </c>
      <c r="BE12" s="63">
        <f t="shared" si="29"/>
        <v>0</v>
      </c>
      <c r="BF12" s="63">
        <f t="shared" si="30"/>
        <v>0</v>
      </c>
    </row>
    <row r="13" spans="2:58" x14ac:dyDescent="0.35">
      <c r="B13" s="3">
        <f t="shared" si="31"/>
        <v>7</v>
      </c>
      <c r="C13" s="3" t="s">
        <v>39</v>
      </c>
      <c r="D13" s="7">
        <v>0</v>
      </c>
      <c r="E13" s="7">
        <v>0</v>
      </c>
      <c r="F13" s="11">
        <f t="shared" si="0"/>
        <v>0</v>
      </c>
      <c r="G13" s="11">
        <f t="shared" si="1"/>
        <v>0</v>
      </c>
      <c r="H13" s="7">
        <v>0</v>
      </c>
      <c r="I13" s="7">
        <v>0</v>
      </c>
      <c r="J13" s="11">
        <f t="shared" si="2"/>
        <v>0</v>
      </c>
      <c r="K13" s="11">
        <f t="shared" si="3"/>
        <v>0</v>
      </c>
      <c r="L13" s="7">
        <v>0</v>
      </c>
      <c r="M13" s="7">
        <v>0</v>
      </c>
      <c r="N13" s="11">
        <f t="shared" si="4"/>
        <v>0</v>
      </c>
      <c r="O13" s="11">
        <f t="shared" si="5"/>
        <v>0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20"/>
      <c r="AG13" s="20"/>
      <c r="AH13" s="11" t="e">
        <f t="shared" si="14"/>
        <v>#DIV/0!</v>
      </c>
      <c r="AI13" s="11" t="e">
        <f t="shared" si="15"/>
        <v>#DIV/0!</v>
      </c>
      <c r="AJ13" s="20"/>
      <c r="AK13" s="7"/>
      <c r="AL13" s="11" t="e">
        <f t="shared" si="16"/>
        <v>#DIV/0!</v>
      </c>
      <c r="AM13" s="11" t="e">
        <f t="shared" si="17"/>
        <v>#DIV/0!</v>
      </c>
      <c r="AN13" s="65"/>
      <c r="AO13" s="65"/>
      <c r="AP13" s="11" t="e">
        <f t="shared" si="18"/>
        <v>#DIV/0!</v>
      </c>
      <c r="AQ13" s="11" t="e">
        <f t="shared" si="19"/>
        <v>#DIV/0!</v>
      </c>
      <c r="AR13" s="7"/>
      <c r="AS13" s="7"/>
      <c r="AT13" s="11" t="e">
        <f t="shared" si="20"/>
        <v>#DIV/0!</v>
      </c>
      <c r="AU13" s="11" t="e">
        <f t="shared" si="21"/>
        <v>#DIV/0!</v>
      </c>
      <c r="AV13" s="68"/>
      <c r="AW13" s="69"/>
      <c r="AX13" s="11" t="e">
        <f t="shared" si="22"/>
        <v>#DIV/0!</v>
      </c>
      <c r="AY13" s="11" t="e">
        <f t="shared" si="23"/>
        <v>#DIV/0!</v>
      </c>
      <c r="AZ13" s="19"/>
      <c r="BA13" s="11" t="e">
        <f t="shared" si="25"/>
        <v>#DIV/0!</v>
      </c>
      <c r="BB13" s="11" t="e">
        <f t="shared" si="26"/>
        <v>#DIV/0!</v>
      </c>
      <c r="BC13" s="63">
        <f t="shared" si="27"/>
        <v>0</v>
      </c>
      <c r="BD13" s="63">
        <f t="shared" si="28"/>
        <v>0</v>
      </c>
      <c r="BE13" s="63">
        <f t="shared" si="29"/>
        <v>0</v>
      </c>
      <c r="BF13" s="63">
        <f t="shared" si="30"/>
        <v>0</v>
      </c>
    </row>
    <row r="14" spans="2:58" x14ac:dyDescent="0.35">
      <c r="B14" s="3">
        <f t="shared" si="31"/>
        <v>8</v>
      </c>
      <c r="C14" s="3" t="s">
        <v>21</v>
      </c>
      <c r="D14" s="7">
        <v>6</v>
      </c>
      <c r="E14" s="7">
        <v>72911558</v>
      </c>
      <c r="F14" s="11">
        <f t="shared" ref="F14:F22" si="32">D14/$D$24</f>
        <v>4.8000000000000001E-2</v>
      </c>
      <c r="G14" s="11">
        <f t="shared" ref="G14:G22" si="33">E14/$E$24</f>
        <v>5.1478716382174078E-2</v>
      </c>
      <c r="H14" s="7">
        <v>6</v>
      </c>
      <c r="I14" s="7">
        <v>67254346</v>
      </c>
      <c r="J14" s="11">
        <f t="shared" ref="J14:J22" si="34">H14/$H$24</f>
        <v>4.8387096774193547E-2</v>
      </c>
      <c r="K14" s="11">
        <f t="shared" ref="K14:K22" si="35">I14/$I$24</f>
        <v>5.4371224695017713E-2</v>
      </c>
      <c r="L14" s="7">
        <v>6</v>
      </c>
      <c r="M14" s="7">
        <v>64882116</v>
      </c>
      <c r="N14" s="11">
        <f t="shared" ref="N14:N22" si="36">L14/$L$24</f>
        <v>4.8387096774193547E-2</v>
      </c>
      <c r="O14" s="11">
        <f t="shared" ref="O14:O22" si="37">M14/$M$24</f>
        <v>5.4123424676505237E-2</v>
      </c>
      <c r="P14" s="7"/>
      <c r="Q14" s="7"/>
      <c r="R14" s="11" t="e">
        <f t="shared" ref="R14:R22" si="38">P14/$P$24</f>
        <v>#DIV/0!</v>
      </c>
      <c r="S14" s="11" t="e">
        <f t="shared" ref="S14:S22" si="39">Q14/$Q$24</f>
        <v>#DIV/0!</v>
      </c>
      <c r="T14" s="7"/>
      <c r="U14" s="7"/>
      <c r="V14" s="11" t="e">
        <f t="shared" ref="V14:V22" si="40">T14/$T$24</f>
        <v>#DIV/0!</v>
      </c>
      <c r="W14" s="11" t="e">
        <f t="shared" ref="W14:W22" si="41">U14/$U$24</f>
        <v>#DIV/0!</v>
      </c>
      <c r="X14" s="7"/>
      <c r="Y14" s="7"/>
      <c r="Z14" s="11" t="e">
        <f t="shared" ref="Z14:Z22" si="42">X14/$X$24</f>
        <v>#DIV/0!</v>
      </c>
      <c r="AA14" s="11" t="e">
        <f t="shared" ref="AA14:AA22" si="43">Y14/$Y$24</f>
        <v>#DIV/0!</v>
      </c>
      <c r="AB14" s="7"/>
      <c r="AC14" s="7"/>
      <c r="AD14" s="11" t="e">
        <f t="shared" ref="AD14:AD22" si="44">AB14/$AB$24</f>
        <v>#DIV/0!</v>
      </c>
      <c r="AE14" s="11" t="e">
        <f t="shared" ref="AE14:AE22" si="45">AC14/$AC$24</f>
        <v>#DIV/0!</v>
      </c>
      <c r="AF14" s="20"/>
      <c r="AG14" s="20"/>
      <c r="AH14" s="11" t="e">
        <f t="shared" ref="AH14:AH22" si="46">AF14/$AF$24</f>
        <v>#DIV/0!</v>
      </c>
      <c r="AI14" s="11" t="e">
        <f t="shared" ref="AI14:AI22" si="47">AG14/$AG$24</f>
        <v>#DIV/0!</v>
      </c>
      <c r="AJ14" s="20"/>
      <c r="AK14" s="7"/>
      <c r="AL14" s="11" t="e">
        <f t="shared" ref="AL14:AL22" si="48">AJ14/$AJ$24</f>
        <v>#DIV/0!</v>
      </c>
      <c r="AM14" s="11" t="e">
        <f t="shared" ref="AM14:AM22" si="49">AK14/$AK$24</f>
        <v>#DIV/0!</v>
      </c>
      <c r="AN14" s="65"/>
      <c r="AO14" s="65"/>
      <c r="AP14" s="11" t="e">
        <f t="shared" ref="AP14:AP22" si="50">AN14/$AN$24</f>
        <v>#DIV/0!</v>
      </c>
      <c r="AQ14" s="11" t="e">
        <f t="shared" ref="AQ14:AQ22" si="51">AO14/$AO$24</f>
        <v>#DIV/0!</v>
      </c>
      <c r="AR14" s="7"/>
      <c r="AS14" s="7"/>
      <c r="AT14" s="11" t="e">
        <f t="shared" ref="AT14:AT22" si="52">AR14/$AR$24</f>
        <v>#DIV/0!</v>
      </c>
      <c r="AU14" s="11" t="e">
        <f t="shared" ref="AU14:AU22" si="53">AS14/$AS$24</f>
        <v>#DIV/0!</v>
      </c>
      <c r="AV14" s="68"/>
      <c r="AW14" s="69"/>
      <c r="AX14" s="11" t="e">
        <f t="shared" ref="AX14:AX22" si="54">AV14/$AJ$24</f>
        <v>#DIV/0!</v>
      </c>
      <c r="AY14" s="11" t="e">
        <f t="shared" ref="AY14:AY22" si="55">AW14/$AK$24</f>
        <v>#DIV/0!</v>
      </c>
      <c r="AZ14" s="19">
        <f t="shared" ref="AZ14:AZ22" si="56">E14+I14+M14+Q14+U14+Y14+AC14+AG14+AK14+AO14+AS14+AW14</f>
        <v>205048020</v>
      </c>
      <c r="BA14" s="11" t="e">
        <f t="shared" si="25"/>
        <v>#DIV/0!</v>
      </c>
      <c r="BB14" s="11" t="e">
        <f t="shared" si="26"/>
        <v>#DIV/0!</v>
      </c>
      <c r="BC14" s="63">
        <f t="shared" si="27"/>
        <v>205048020</v>
      </c>
      <c r="BD14" s="63">
        <f t="shared" si="28"/>
        <v>0</v>
      </c>
      <c r="BE14" s="63">
        <f t="shared" si="29"/>
        <v>0</v>
      </c>
      <c r="BF14" s="63">
        <f t="shared" si="30"/>
        <v>0</v>
      </c>
    </row>
    <row r="15" spans="2:58" x14ac:dyDescent="0.35">
      <c r="B15" s="3">
        <f t="shared" si="31"/>
        <v>9</v>
      </c>
      <c r="C15" s="3" t="s">
        <v>22</v>
      </c>
      <c r="D15" s="7">
        <v>4</v>
      </c>
      <c r="E15" s="7">
        <v>43284396</v>
      </c>
      <c r="F15" s="11">
        <f t="shared" si="32"/>
        <v>3.2000000000000001E-2</v>
      </c>
      <c r="G15" s="11">
        <f t="shared" si="33"/>
        <v>3.0560657412610909E-2</v>
      </c>
      <c r="H15" s="7">
        <v>4</v>
      </c>
      <c r="I15" s="7">
        <v>40321757</v>
      </c>
      <c r="J15" s="11">
        <f t="shared" si="34"/>
        <v>3.2258064516129031E-2</v>
      </c>
      <c r="K15" s="11">
        <f t="shared" si="35"/>
        <v>3.2597793902343554E-2</v>
      </c>
      <c r="L15" s="7">
        <v>4</v>
      </c>
      <c r="M15" s="7">
        <v>38398936</v>
      </c>
      <c r="N15" s="11">
        <f t="shared" si="36"/>
        <v>3.2258064516129031E-2</v>
      </c>
      <c r="O15" s="11">
        <f t="shared" si="37"/>
        <v>3.2031660623613838E-2</v>
      </c>
      <c r="P15" s="7"/>
      <c r="Q15" s="7"/>
      <c r="R15" s="11" t="e">
        <f t="shared" si="38"/>
        <v>#DIV/0!</v>
      </c>
      <c r="S15" s="11" t="e">
        <f t="shared" si="39"/>
        <v>#DIV/0!</v>
      </c>
      <c r="T15" s="7"/>
      <c r="U15" s="7"/>
      <c r="V15" s="11" t="e">
        <f t="shared" si="40"/>
        <v>#DIV/0!</v>
      </c>
      <c r="W15" s="11" t="e">
        <f t="shared" si="41"/>
        <v>#DIV/0!</v>
      </c>
      <c r="X15" s="7"/>
      <c r="Y15" s="7"/>
      <c r="Z15" s="11" t="e">
        <f t="shared" si="42"/>
        <v>#DIV/0!</v>
      </c>
      <c r="AA15" s="11" t="e">
        <f t="shared" si="43"/>
        <v>#DIV/0!</v>
      </c>
      <c r="AB15" s="7"/>
      <c r="AC15" s="7"/>
      <c r="AD15" s="11" t="e">
        <f t="shared" si="44"/>
        <v>#DIV/0!</v>
      </c>
      <c r="AE15" s="11" t="e">
        <f t="shared" si="45"/>
        <v>#DIV/0!</v>
      </c>
      <c r="AF15" s="20"/>
      <c r="AG15" s="20"/>
      <c r="AH15" s="11" t="e">
        <f t="shared" si="46"/>
        <v>#DIV/0!</v>
      </c>
      <c r="AI15" s="11" t="e">
        <f t="shared" si="47"/>
        <v>#DIV/0!</v>
      </c>
      <c r="AJ15" s="20"/>
      <c r="AK15" s="7"/>
      <c r="AL15" s="11" t="e">
        <f t="shared" si="48"/>
        <v>#DIV/0!</v>
      </c>
      <c r="AM15" s="11" t="e">
        <f t="shared" si="49"/>
        <v>#DIV/0!</v>
      </c>
      <c r="AN15" s="65"/>
      <c r="AO15" s="65"/>
      <c r="AP15" s="11" t="e">
        <f t="shared" si="50"/>
        <v>#DIV/0!</v>
      </c>
      <c r="AQ15" s="11" t="e">
        <f t="shared" si="51"/>
        <v>#DIV/0!</v>
      </c>
      <c r="AR15" s="7"/>
      <c r="AS15" s="7"/>
      <c r="AT15" s="11" t="e">
        <f t="shared" si="52"/>
        <v>#DIV/0!</v>
      </c>
      <c r="AU15" s="11" t="e">
        <f t="shared" si="53"/>
        <v>#DIV/0!</v>
      </c>
      <c r="AV15" s="68"/>
      <c r="AW15" s="69"/>
      <c r="AX15" s="11" t="e">
        <f t="shared" si="54"/>
        <v>#DIV/0!</v>
      </c>
      <c r="AY15" s="11" t="e">
        <f t="shared" si="55"/>
        <v>#DIV/0!</v>
      </c>
      <c r="AZ15" s="19">
        <f t="shared" si="56"/>
        <v>122005089</v>
      </c>
      <c r="BA15" s="11" t="e">
        <f t="shared" si="25"/>
        <v>#DIV/0!</v>
      </c>
      <c r="BB15" s="11" t="e">
        <f t="shared" si="26"/>
        <v>#DIV/0!</v>
      </c>
      <c r="BC15" s="63">
        <f t="shared" si="27"/>
        <v>122005089</v>
      </c>
      <c r="BD15" s="63">
        <f t="shared" si="28"/>
        <v>0</v>
      </c>
      <c r="BE15" s="63">
        <f t="shared" si="29"/>
        <v>0</v>
      </c>
      <c r="BF15" s="63">
        <f t="shared" si="30"/>
        <v>0</v>
      </c>
    </row>
    <row r="16" spans="2:58" x14ac:dyDescent="0.35">
      <c r="B16" s="3">
        <f t="shared" si="31"/>
        <v>10</v>
      </c>
      <c r="C16" s="3" t="s">
        <v>29</v>
      </c>
      <c r="D16" s="7">
        <v>31</v>
      </c>
      <c r="E16" s="7">
        <v>314757528</v>
      </c>
      <c r="F16" s="11">
        <f t="shared" si="32"/>
        <v>0.248</v>
      </c>
      <c r="G16" s="11">
        <f t="shared" si="33"/>
        <v>0.22223244102212458</v>
      </c>
      <c r="H16" s="7">
        <v>31</v>
      </c>
      <c r="I16" s="7">
        <v>277286181</v>
      </c>
      <c r="J16" s="11">
        <f t="shared" si="34"/>
        <v>0.25</v>
      </c>
      <c r="K16" s="11">
        <f t="shared" si="35"/>
        <v>0.22416973992988279</v>
      </c>
      <c r="L16" s="7">
        <v>31</v>
      </c>
      <c r="M16" s="7">
        <v>264313597</v>
      </c>
      <c r="N16" s="11">
        <f t="shared" si="36"/>
        <v>0.25</v>
      </c>
      <c r="O16" s="11">
        <f t="shared" si="37"/>
        <v>0.22048536546196582</v>
      </c>
      <c r="P16" s="7"/>
      <c r="Q16" s="7"/>
      <c r="R16" s="11" t="e">
        <f t="shared" si="38"/>
        <v>#DIV/0!</v>
      </c>
      <c r="S16" s="11" t="e">
        <f t="shared" si="39"/>
        <v>#DIV/0!</v>
      </c>
      <c r="T16" s="7"/>
      <c r="U16" s="7"/>
      <c r="V16" s="11" t="e">
        <f t="shared" si="40"/>
        <v>#DIV/0!</v>
      </c>
      <c r="W16" s="11" t="e">
        <f t="shared" si="41"/>
        <v>#DIV/0!</v>
      </c>
      <c r="X16" s="7"/>
      <c r="Y16" s="7"/>
      <c r="Z16" s="11" t="e">
        <f t="shared" si="42"/>
        <v>#DIV/0!</v>
      </c>
      <c r="AA16" s="11" t="e">
        <f t="shared" si="43"/>
        <v>#DIV/0!</v>
      </c>
      <c r="AB16" s="7"/>
      <c r="AC16" s="7"/>
      <c r="AD16" s="11" t="e">
        <f t="shared" si="44"/>
        <v>#DIV/0!</v>
      </c>
      <c r="AE16" s="11" t="e">
        <f t="shared" si="45"/>
        <v>#DIV/0!</v>
      </c>
      <c r="AF16" s="20"/>
      <c r="AG16" s="20"/>
      <c r="AH16" s="11" t="e">
        <f t="shared" si="46"/>
        <v>#DIV/0!</v>
      </c>
      <c r="AI16" s="11" t="e">
        <f t="shared" si="47"/>
        <v>#DIV/0!</v>
      </c>
      <c r="AJ16" s="20"/>
      <c r="AK16" s="7"/>
      <c r="AL16" s="11" t="e">
        <f t="shared" si="48"/>
        <v>#DIV/0!</v>
      </c>
      <c r="AM16" s="11" t="e">
        <f t="shared" si="49"/>
        <v>#DIV/0!</v>
      </c>
      <c r="AN16" s="65"/>
      <c r="AO16" s="65"/>
      <c r="AP16" s="11" t="e">
        <f t="shared" si="50"/>
        <v>#DIV/0!</v>
      </c>
      <c r="AQ16" s="11" t="e">
        <f t="shared" si="51"/>
        <v>#DIV/0!</v>
      </c>
      <c r="AR16" s="7"/>
      <c r="AS16" s="7"/>
      <c r="AT16" s="11" t="e">
        <f t="shared" si="52"/>
        <v>#DIV/0!</v>
      </c>
      <c r="AU16" s="11" t="e">
        <f t="shared" si="53"/>
        <v>#DIV/0!</v>
      </c>
      <c r="AV16" s="68"/>
      <c r="AW16" s="69"/>
      <c r="AX16" s="11" t="e">
        <f t="shared" si="54"/>
        <v>#DIV/0!</v>
      </c>
      <c r="AY16" s="11" t="e">
        <f t="shared" si="55"/>
        <v>#DIV/0!</v>
      </c>
      <c r="AZ16" s="19">
        <f t="shared" si="56"/>
        <v>856357306</v>
      </c>
      <c r="BA16" s="11" t="e">
        <f t="shared" si="25"/>
        <v>#DIV/0!</v>
      </c>
      <c r="BB16" s="11" t="e">
        <f t="shared" si="26"/>
        <v>#DIV/0!</v>
      </c>
      <c r="BC16" s="63">
        <f t="shared" si="27"/>
        <v>856357306</v>
      </c>
      <c r="BD16" s="63">
        <f t="shared" si="28"/>
        <v>0</v>
      </c>
      <c r="BE16" s="63">
        <f t="shared" si="29"/>
        <v>0</v>
      </c>
      <c r="BF16" s="63">
        <f t="shared" si="30"/>
        <v>0</v>
      </c>
    </row>
    <row r="17" spans="2:58" x14ac:dyDescent="0.35">
      <c r="B17" s="3">
        <f t="shared" si="31"/>
        <v>11</v>
      </c>
      <c r="C17" s="3" t="s">
        <v>40</v>
      </c>
      <c r="D17" s="7">
        <v>30</v>
      </c>
      <c r="E17" s="7">
        <v>255421010</v>
      </c>
      <c r="F17" s="11">
        <f t="shared" si="32"/>
        <v>0.24</v>
      </c>
      <c r="G17" s="11">
        <f t="shared" si="33"/>
        <v>0.18033829056071535</v>
      </c>
      <c r="H17" s="7">
        <v>29</v>
      </c>
      <c r="I17" s="7">
        <v>203154533</v>
      </c>
      <c r="J17" s="11">
        <f t="shared" si="34"/>
        <v>0.23387096774193547</v>
      </c>
      <c r="K17" s="11">
        <f t="shared" si="35"/>
        <v>0.16423861681079155</v>
      </c>
      <c r="L17" s="7">
        <v>29</v>
      </c>
      <c r="M17" s="7">
        <v>197982983</v>
      </c>
      <c r="N17" s="11">
        <f t="shared" si="36"/>
        <v>0.23387096774193547</v>
      </c>
      <c r="O17" s="11">
        <f t="shared" si="37"/>
        <v>0.16515363135860606</v>
      </c>
      <c r="P17" s="7"/>
      <c r="Q17" s="7"/>
      <c r="R17" s="11" t="e">
        <f t="shared" si="38"/>
        <v>#DIV/0!</v>
      </c>
      <c r="S17" s="11" t="e">
        <f t="shared" si="39"/>
        <v>#DIV/0!</v>
      </c>
      <c r="T17" s="7"/>
      <c r="U17" s="7"/>
      <c r="V17" s="11" t="e">
        <f t="shared" si="40"/>
        <v>#DIV/0!</v>
      </c>
      <c r="W17" s="11" t="e">
        <f t="shared" si="41"/>
        <v>#DIV/0!</v>
      </c>
      <c r="X17" s="7"/>
      <c r="Y17" s="7"/>
      <c r="Z17" s="11" t="e">
        <f t="shared" si="42"/>
        <v>#DIV/0!</v>
      </c>
      <c r="AA17" s="11" t="e">
        <f t="shared" si="43"/>
        <v>#DIV/0!</v>
      </c>
      <c r="AB17" s="7"/>
      <c r="AC17" s="20"/>
      <c r="AD17" s="11" t="e">
        <f t="shared" si="44"/>
        <v>#DIV/0!</v>
      </c>
      <c r="AE17" s="11" t="e">
        <f t="shared" si="45"/>
        <v>#DIV/0!</v>
      </c>
      <c r="AF17" s="20"/>
      <c r="AG17" s="20"/>
      <c r="AH17" s="11" t="e">
        <f t="shared" si="46"/>
        <v>#DIV/0!</v>
      </c>
      <c r="AI17" s="11" t="e">
        <f t="shared" si="47"/>
        <v>#DIV/0!</v>
      </c>
      <c r="AJ17" s="20"/>
      <c r="AK17" s="7"/>
      <c r="AL17" s="11" t="e">
        <f t="shared" si="48"/>
        <v>#DIV/0!</v>
      </c>
      <c r="AM17" s="11" t="e">
        <f t="shared" si="49"/>
        <v>#DIV/0!</v>
      </c>
      <c r="AN17" s="65"/>
      <c r="AO17" s="65"/>
      <c r="AP17" s="11" t="e">
        <f t="shared" si="50"/>
        <v>#DIV/0!</v>
      </c>
      <c r="AQ17" s="11" t="e">
        <f t="shared" si="51"/>
        <v>#DIV/0!</v>
      </c>
      <c r="AR17" s="7"/>
      <c r="AS17" s="7"/>
      <c r="AT17" s="11" t="e">
        <f t="shared" si="52"/>
        <v>#DIV/0!</v>
      </c>
      <c r="AU17" s="11" t="e">
        <f t="shared" si="53"/>
        <v>#DIV/0!</v>
      </c>
      <c r="AV17" s="68"/>
      <c r="AW17" s="69"/>
      <c r="AX17" s="11" t="e">
        <f t="shared" si="54"/>
        <v>#DIV/0!</v>
      </c>
      <c r="AY17" s="11" t="e">
        <f t="shared" si="55"/>
        <v>#DIV/0!</v>
      </c>
      <c r="AZ17" s="19">
        <f t="shared" si="56"/>
        <v>656558526</v>
      </c>
      <c r="BA17" s="11" t="e">
        <f t="shared" si="25"/>
        <v>#DIV/0!</v>
      </c>
      <c r="BB17" s="11" t="e">
        <f t="shared" si="26"/>
        <v>#DIV/0!</v>
      </c>
      <c r="BC17" s="63">
        <f t="shared" si="27"/>
        <v>656558526</v>
      </c>
      <c r="BD17" s="63">
        <f t="shared" si="28"/>
        <v>0</v>
      </c>
      <c r="BE17" s="63">
        <f t="shared" si="29"/>
        <v>0</v>
      </c>
      <c r="BF17" s="63">
        <f t="shared" si="30"/>
        <v>0</v>
      </c>
    </row>
    <row r="18" spans="2:58" x14ac:dyDescent="0.35">
      <c r="B18" s="3">
        <f t="shared" si="31"/>
        <v>12</v>
      </c>
      <c r="C18" s="3" t="s">
        <v>41</v>
      </c>
      <c r="D18" s="7">
        <v>5</v>
      </c>
      <c r="E18" s="7">
        <v>46293624</v>
      </c>
      <c r="F18" s="11">
        <f t="shared" si="32"/>
        <v>0.04</v>
      </c>
      <c r="G18" s="11">
        <f t="shared" si="33"/>
        <v>3.2685302653922263E-2</v>
      </c>
      <c r="H18" s="7">
        <v>5</v>
      </c>
      <c r="I18" s="7">
        <v>43048682</v>
      </c>
      <c r="J18" s="11">
        <f t="shared" si="34"/>
        <v>4.0322580645161289E-2</v>
      </c>
      <c r="K18" s="11">
        <f t="shared" si="35"/>
        <v>3.4802354064172515E-2</v>
      </c>
      <c r="L18" s="7">
        <v>5</v>
      </c>
      <c r="M18" s="7">
        <v>41787979</v>
      </c>
      <c r="N18" s="11">
        <f t="shared" si="36"/>
        <v>4.0322580645161289E-2</v>
      </c>
      <c r="O18" s="11">
        <f t="shared" si="37"/>
        <v>3.4858735707538925E-2</v>
      </c>
      <c r="P18" s="7"/>
      <c r="Q18" s="7"/>
      <c r="R18" s="11" t="e">
        <f t="shared" si="38"/>
        <v>#DIV/0!</v>
      </c>
      <c r="S18" s="11" t="e">
        <f t="shared" si="39"/>
        <v>#DIV/0!</v>
      </c>
      <c r="T18" s="7"/>
      <c r="U18" s="7"/>
      <c r="V18" s="11" t="e">
        <f t="shared" si="40"/>
        <v>#DIV/0!</v>
      </c>
      <c r="W18" s="11" t="e">
        <f t="shared" si="41"/>
        <v>#DIV/0!</v>
      </c>
      <c r="X18" s="7"/>
      <c r="Y18" s="7"/>
      <c r="Z18" s="11" t="e">
        <f t="shared" si="42"/>
        <v>#DIV/0!</v>
      </c>
      <c r="AA18" s="11" t="e">
        <f t="shared" si="43"/>
        <v>#DIV/0!</v>
      </c>
      <c r="AB18" s="7"/>
      <c r="AC18" s="7"/>
      <c r="AD18" s="11" t="e">
        <f t="shared" si="44"/>
        <v>#DIV/0!</v>
      </c>
      <c r="AE18" s="11" t="e">
        <f t="shared" si="45"/>
        <v>#DIV/0!</v>
      </c>
      <c r="AF18" s="20"/>
      <c r="AG18" s="20"/>
      <c r="AH18" s="11" t="e">
        <f t="shared" si="46"/>
        <v>#DIV/0!</v>
      </c>
      <c r="AI18" s="11" t="e">
        <f t="shared" si="47"/>
        <v>#DIV/0!</v>
      </c>
      <c r="AJ18" s="20"/>
      <c r="AK18" s="7"/>
      <c r="AL18" s="11" t="e">
        <f t="shared" si="48"/>
        <v>#DIV/0!</v>
      </c>
      <c r="AM18" s="11" t="e">
        <f t="shared" si="49"/>
        <v>#DIV/0!</v>
      </c>
      <c r="AN18" s="65"/>
      <c r="AO18" s="65"/>
      <c r="AP18" s="11" t="e">
        <f t="shared" si="50"/>
        <v>#DIV/0!</v>
      </c>
      <c r="AQ18" s="11" t="e">
        <f t="shared" si="51"/>
        <v>#DIV/0!</v>
      </c>
      <c r="AR18" s="7"/>
      <c r="AS18" s="7"/>
      <c r="AT18" s="11" t="e">
        <f t="shared" si="52"/>
        <v>#DIV/0!</v>
      </c>
      <c r="AU18" s="11" t="e">
        <f t="shared" si="53"/>
        <v>#DIV/0!</v>
      </c>
      <c r="AV18" s="68"/>
      <c r="AW18" s="69"/>
      <c r="AX18" s="11" t="e">
        <f t="shared" si="54"/>
        <v>#DIV/0!</v>
      </c>
      <c r="AY18" s="11" t="e">
        <f t="shared" si="55"/>
        <v>#DIV/0!</v>
      </c>
      <c r="AZ18" s="19">
        <f t="shared" si="56"/>
        <v>131130285</v>
      </c>
      <c r="BA18" s="11" t="e">
        <f t="shared" si="25"/>
        <v>#DIV/0!</v>
      </c>
      <c r="BB18" s="11" t="e">
        <f t="shared" si="26"/>
        <v>#DIV/0!</v>
      </c>
      <c r="BC18" s="63">
        <f t="shared" si="27"/>
        <v>131130285</v>
      </c>
      <c r="BD18" s="63">
        <f t="shared" si="28"/>
        <v>0</v>
      </c>
      <c r="BE18" s="63">
        <f t="shared" si="29"/>
        <v>0</v>
      </c>
      <c r="BF18" s="63">
        <f t="shared" si="30"/>
        <v>0</v>
      </c>
    </row>
    <row r="19" spans="2:58" x14ac:dyDescent="0.35">
      <c r="B19" s="3">
        <f t="shared" si="31"/>
        <v>13</v>
      </c>
      <c r="C19" s="3" t="s">
        <v>23</v>
      </c>
      <c r="D19" s="7">
        <v>4</v>
      </c>
      <c r="E19" s="7">
        <v>40683243</v>
      </c>
      <c r="F19" s="11">
        <f t="shared" si="32"/>
        <v>3.2000000000000001E-2</v>
      </c>
      <c r="G19" s="11">
        <f t="shared" si="33"/>
        <v>2.8724130787385848E-2</v>
      </c>
      <c r="H19" s="7">
        <v>4</v>
      </c>
      <c r="I19" s="7">
        <v>34167537</v>
      </c>
      <c r="J19" s="11">
        <f t="shared" si="34"/>
        <v>3.2258064516129031E-2</v>
      </c>
      <c r="K19" s="11">
        <f t="shared" si="35"/>
        <v>2.7622465193585133E-2</v>
      </c>
      <c r="L19" s="7">
        <v>4</v>
      </c>
      <c r="M19" s="7">
        <v>34147340</v>
      </c>
      <c r="N19" s="11">
        <f t="shared" si="36"/>
        <v>3.2258064516129031E-2</v>
      </c>
      <c r="O19" s="11">
        <f t="shared" si="37"/>
        <v>2.8485060265189474E-2</v>
      </c>
      <c r="P19" s="7"/>
      <c r="Q19" s="7"/>
      <c r="R19" s="11" t="e">
        <f t="shared" si="38"/>
        <v>#DIV/0!</v>
      </c>
      <c r="S19" s="11" t="e">
        <f t="shared" si="39"/>
        <v>#DIV/0!</v>
      </c>
      <c r="T19" s="7"/>
      <c r="U19" s="7"/>
      <c r="V19" s="11" t="e">
        <f t="shared" si="40"/>
        <v>#DIV/0!</v>
      </c>
      <c r="W19" s="11" t="e">
        <f t="shared" si="41"/>
        <v>#DIV/0!</v>
      </c>
      <c r="X19" s="7"/>
      <c r="Y19" s="7"/>
      <c r="Z19" s="11" t="e">
        <f t="shared" si="42"/>
        <v>#DIV/0!</v>
      </c>
      <c r="AA19" s="11" t="e">
        <f t="shared" si="43"/>
        <v>#DIV/0!</v>
      </c>
      <c r="AB19" s="7"/>
      <c r="AC19" s="7"/>
      <c r="AD19" s="11" t="e">
        <f t="shared" si="44"/>
        <v>#DIV/0!</v>
      </c>
      <c r="AE19" s="11" t="e">
        <f t="shared" si="45"/>
        <v>#DIV/0!</v>
      </c>
      <c r="AF19" s="20"/>
      <c r="AG19" s="20"/>
      <c r="AH19" s="11" t="e">
        <f t="shared" si="46"/>
        <v>#DIV/0!</v>
      </c>
      <c r="AI19" s="11" t="e">
        <f t="shared" si="47"/>
        <v>#DIV/0!</v>
      </c>
      <c r="AJ19" s="20"/>
      <c r="AK19" s="7"/>
      <c r="AL19" s="11" t="e">
        <f t="shared" si="48"/>
        <v>#DIV/0!</v>
      </c>
      <c r="AM19" s="11" t="e">
        <f t="shared" si="49"/>
        <v>#DIV/0!</v>
      </c>
      <c r="AN19" s="65"/>
      <c r="AO19" s="65"/>
      <c r="AP19" s="11" t="e">
        <f t="shared" si="50"/>
        <v>#DIV/0!</v>
      </c>
      <c r="AQ19" s="11" t="e">
        <f t="shared" si="51"/>
        <v>#DIV/0!</v>
      </c>
      <c r="AR19" s="7"/>
      <c r="AS19" s="7"/>
      <c r="AT19" s="11" t="e">
        <f t="shared" si="52"/>
        <v>#DIV/0!</v>
      </c>
      <c r="AU19" s="11" t="e">
        <f t="shared" si="53"/>
        <v>#DIV/0!</v>
      </c>
      <c r="AV19" s="68"/>
      <c r="AW19" s="69"/>
      <c r="AX19" s="11" t="e">
        <f t="shared" si="54"/>
        <v>#DIV/0!</v>
      </c>
      <c r="AY19" s="11" t="e">
        <f t="shared" si="55"/>
        <v>#DIV/0!</v>
      </c>
      <c r="AZ19" s="19">
        <f t="shared" si="56"/>
        <v>108998120</v>
      </c>
      <c r="BA19" s="11" t="e">
        <f t="shared" si="25"/>
        <v>#DIV/0!</v>
      </c>
      <c r="BB19" s="11" t="e">
        <f t="shared" si="26"/>
        <v>#DIV/0!</v>
      </c>
      <c r="BC19" s="63">
        <f t="shared" si="27"/>
        <v>108998120</v>
      </c>
      <c r="BD19" s="63">
        <f t="shared" si="28"/>
        <v>0</v>
      </c>
      <c r="BE19" s="63">
        <f t="shared" si="29"/>
        <v>0</v>
      </c>
      <c r="BF19" s="63">
        <f t="shared" si="30"/>
        <v>0</v>
      </c>
    </row>
    <row r="20" spans="2:58" x14ac:dyDescent="0.35">
      <c r="B20" s="3">
        <f t="shared" si="31"/>
        <v>14</v>
      </c>
      <c r="C20" s="3" t="s">
        <v>24</v>
      </c>
      <c r="D20" s="7">
        <v>3</v>
      </c>
      <c r="E20" s="7">
        <v>31336469</v>
      </c>
      <c r="F20" s="11">
        <f t="shared" si="32"/>
        <v>2.4E-2</v>
      </c>
      <c r="G20" s="11">
        <f t="shared" si="33"/>
        <v>2.2124903709639425E-2</v>
      </c>
      <c r="H20" s="7">
        <v>3</v>
      </c>
      <c r="I20" s="7">
        <v>29858981</v>
      </c>
      <c r="J20" s="11">
        <f t="shared" si="34"/>
        <v>2.4193548387096774E-2</v>
      </c>
      <c r="K20" s="11">
        <f t="shared" si="35"/>
        <v>2.4139248415489235E-2</v>
      </c>
      <c r="L20" s="7">
        <v>3</v>
      </c>
      <c r="M20" s="7">
        <v>29074599</v>
      </c>
      <c r="N20" s="11">
        <f t="shared" si="36"/>
        <v>2.4193548387096774E-2</v>
      </c>
      <c r="O20" s="11">
        <f t="shared" si="37"/>
        <v>2.4253476396733028E-2</v>
      </c>
      <c r="P20" s="7"/>
      <c r="Q20" s="7"/>
      <c r="R20" s="11" t="e">
        <f t="shared" si="38"/>
        <v>#DIV/0!</v>
      </c>
      <c r="S20" s="11" t="e">
        <f t="shared" si="39"/>
        <v>#DIV/0!</v>
      </c>
      <c r="T20" s="7"/>
      <c r="U20" s="7"/>
      <c r="V20" s="11" t="e">
        <f t="shared" si="40"/>
        <v>#DIV/0!</v>
      </c>
      <c r="W20" s="11" t="e">
        <f t="shared" si="41"/>
        <v>#DIV/0!</v>
      </c>
      <c r="X20" s="7"/>
      <c r="Y20" s="7"/>
      <c r="Z20" s="11" t="e">
        <f t="shared" si="42"/>
        <v>#DIV/0!</v>
      </c>
      <c r="AA20" s="11" t="e">
        <f t="shared" si="43"/>
        <v>#DIV/0!</v>
      </c>
      <c r="AB20" s="7"/>
      <c r="AC20" s="7"/>
      <c r="AD20" s="11" t="e">
        <f t="shared" si="44"/>
        <v>#DIV/0!</v>
      </c>
      <c r="AE20" s="11" t="e">
        <f t="shared" si="45"/>
        <v>#DIV/0!</v>
      </c>
      <c r="AF20" s="20"/>
      <c r="AG20" s="20"/>
      <c r="AH20" s="11" t="e">
        <f t="shared" si="46"/>
        <v>#DIV/0!</v>
      </c>
      <c r="AI20" s="11" t="e">
        <f t="shared" si="47"/>
        <v>#DIV/0!</v>
      </c>
      <c r="AJ20" s="20"/>
      <c r="AK20" s="7"/>
      <c r="AL20" s="11" t="e">
        <f t="shared" si="48"/>
        <v>#DIV/0!</v>
      </c>
      <c r="AM20" s="11" t="e">
        <f t="shared" si="49"/>
        <v>#DIV/0!</v>
      </c>
      <c r="AN20" s="65"/>
      <c r="AO20" s="65"/>
      <c r="AP20" s="11" t="e">
        <f t="shared" si="50"/>
        <v>#DIV/0!</v>
      </c>
      <c r="AQ20" s="11" t="e">
        <f t="shared" si="51"/>
        <v>#DIV/0!</v>
      </c>
      <c r="AR20" s="7"/>
      <c r="AS20" s="7"/>
      <c r="AT20" s="11" t="e">
        <f t="shared" si="52"/>
        <v>#DIV/0!</v>
      </c>
      <c r="AU20" s="11" t="e">
        <f t="shared" si="53"/>
        <v>#DIV/0!</v>
      </c>
      <c r="AV20" s="68"/>
      <c r="AW20" s="69"/>
      <c r="AX20" s="11" t="e">
        <f t="shared" si="54"/>
        <v>#DIV/0!</v>
      </c>
      <c r="AY20" s="11" t="e">
        <f t="shared" si="55"/>
        <v>#DIV/0!</v>
      </c>
      <c r="AZ20" s="19">
        <f t="shared" si="56"/>
        <v>90270049</v>
      </c>
      <c r="BA20" s="11" t="e">
        <f t="shared" si="25"/>
        <v>#DIV/0!</v>
      </c>
      <c r="BB20" s="11" t="e">
        <f t="shared" si="26"/>
        <v>#DIV/0!</v>
      </c>
      <c r="BC20" s="63">
        <f t="shared" si="27"/>
        <v>90270049</v>
      </c>
      <c r="BD20" s="63">
        <f t="shared" si="28"/>
        <v>0</v>
      </c>
      <c r="BE20" s="63">
        <f t="shared" si="29"/>
        <v>0</v>
      </c>
      <c r="BF20" s="63">
        <f t="shared" si="30"/>
        <v>0</v>
      </c>
    </row>
    <row r="21" spans="2:58" x14ac:dyDescent="0.35">
      <c r="B21" s="3">
        <f t="shared" si="31"/>
        <v>15</v>
      </c>
      <c r="C21" s="3" t="s">
        <v>25</v>
      </c>
      <c r="D21" s="7">
        <v>7</v>
      </c>
      <c r="E21" s="7">
        <v>78487726</v>
      </c>
      <c r="F21" s="11">
        <f t="shared" si="32"/>
        <v>5.6000000000000001E-2</v>
      </c>
      <c r="G21" s="11">
        <f t="shared" si="33"/>
        <v>5.5415732389586164E-2</v>
      </c>
      <c r="H21" s="7">
        <v>7</v>
      </c>
      <c r="I21" s="7">
        <v>71428573</v>
      </c>
      <c r="J21" s="11">
        <f t="shared" si="34"/>
        <v>5.6451612903225805E-2</v>
      </c>
      <c r="K21" s="11">
        <f t="shared" si="35"/>
        <v>5.7745844294247922E-2</v>
      </c>
      <c r="L21" s="7">
        <v>7</v>
      </c>
      <c r="M21" s="7">
        <v>68566344</v>
      </c>
      <c r="N21" s="11">
        <f t="shared" si="36"/>
        <v>5.6451612903225805E-2</v>
      </c>
      <c r="O21" s="11">
        <f t="shared" si="37"/>
        <v>5.7196737461943238E-2</v>
      </c>
      <c r="P21" s="7"/>
      <c r="Q21" s="7"/>
      <c r="R21" s="11" t="e">
        <f t="shared" si="38"/>
        <v>#DIV/0!</v>
      </c>
      <c r="S21" s="11" t="e">
        <f t="shared" si="39"/>
        <v>#DIV/0!</v>
      </c>
      <c r="T21" s="7"/>
      <c r="U21" s="7"/>
      <c r="V21" s="11" t="e">
        <f t="shared" si="40"/>
        <v>#DIV/0!</v>
      </c>
      <c r="W21" s="11" t="e">
        <f t="shared" si="41"/>
        <v>#DIV/0!</v>
      </c>
      <c r="X21" s="7"/>
      <c r="Y21" s="7"/>
      <c r="Z21" s="11" t="e">
        <f t="shared" si="42"/>
        <v>#DIV/0!</v>
      </c>
      <c r="AA21" s="11" t="e">
        <f t="shared" si="43"/>
        <v>#DIV/0!</v>
      </c>
      <c r="AB21" s="7"/>
      <c r="AC21" s="7"/>
      <c r="AD21" s="11" t="e">
        <f t="shared" si="44"/>
        <v>#DIV/0!</v>
      </c>
      <c r="AE21" s="11" t="e">
        <f t="shared" si="45"/>
        <v>#DIV/0!</v>
      </c>
      <c r="AF21" s="20"/>
      <c r="AG21" s="20"/>
      <c r="AH21" s="11" t="e">
        <f t="shared" si="46"/>
        <v>#DIV/0!</v>
      </c>
      <c r="AI21" s="11" t="e">
        <f t="shared" si="47"/>
        <v>#DIV/0!</v>
      </c>
      <c r="AJ21" s="20"/>
      <c r="AK21" s="7"/>
      <c r="AL21" s="11" t="e">
        <f t="shared" si="48"/>
        <v>#DIV/0!</v>
      </c>
      <c r="AM21" s="11" t="e">
        <f t="shared" si="49"/>
        <v>#DIV/0!</v>
      </c>
      <c r="AN21" s="65"/>
      <c r="AO21" s="65"/>
      <c r="AP21" s="11" t="e">
        <f t="shared" si="50"/>
        <v>#DIV/0!</v>
      </c>
      <c r="AQ21" s="11" t="e">
        <f t="shared" si="51"/>
        <v>#DIV/0!</v>
      </c>
      <c r="AR21" s="7"/>
      <c r="AS21" s="7"/>
      <c r="AT21" s="11" t="e">
        <f t="shared" si="52"/>
        <v>#DIV/0!</v>
      </c>
      <c r="AU21" s="11" t="e">
        <f t="shared" si="53"/>
        <v>#DIV/0!</v>
      </c>
      <c r="AV21" s="68"/>
      <c r="AW21" s="69"/>
      <c r="AX21" s="11" t="e">
        <f t="shared" si="54"/>
        <v>#DIV/0!</v>
      </c>
      <c r="AY21" s="11" t="e">
        <f t="shared" si="55"/>
        <v>#DIV/0!</v>
      </c>
      <c r="AZ21" s="19">
        <f t="shared" si="56"/>
        <v>218482643</v>
      </c>
      <c r="BA21" s="11" t="e">
        <f t="shared" si="25"/>
        <v>#DIV/0!</v>
      </c>
      <c r="BB21" s="11" t="e">
        <f t="shared" si="26"/>
        <v>#DIV/0!</v>
      </c>
      <c r="BC21" s="63">
        <f t="shared" si="27"/>
        <v>218482643</v>
      </c>
      <c r="BD21" s="63">
        <f t="shared" si="28"/>
        <v>0</v>
      </c>
      <c r="BE21" s="63">
        <f t="shared" si="29"/>
        <v>0</v>
      </c>
      <c r="BF21" s="63">
        <f t="shared" si="30"/>
        <v>0</v>
      </c>
    </row>
    <row r="22" spans="2:58" x14ac:dyDescent="0.35">
      <c r="B22" s="3">
        <f t="shared" si="31"/>
        <v>16</v>
      </c>
      <c r="C22" s="3" t="s">
        <v>26</v>
      </c>
      <c r="D22" s="7">
        <v>2</v>
      </c>
      <c r="E22" s="7">
        <v>21662337</v>
      </c>
      <c r="F22" s="11">
        <f t="shared" si="32"/>
        <v>1.6E-2</v>
      </c>
      <c r="G22" s="11">
        <f t="shared" si="33"/>
        <v>1.5294547712148403E-2</v>
      </c>
      <c r="H22" s="7">
        <v>2</v>
      </c>
      <c r="I22" s="7">
        <v>20845382</v>
      </c>
      <c r="J22" s="11">
        <f t="shared" si="34"/>
        <v>1.6129032258064516E-2</v>
      </c>
      <c r="K22" s="11">
        <f t="shared" si="35"/>
        <v>1.6852278194415538E-2</v>
      </c>
      <c r="L22" s="7">
        <v>2</v>
      </c>
      <c r="M22" s="7">
        <v>20252202</v>
      </c>
      <c r="N22" s="11">
        <f t="shared" si="36"/>
        <v>1.6129032258064516E-2</v>
      </c>
      <c r="O22" s="11">
        <f t="shared" si="37"/>
        <v>1.6894000952132459E-2</v>
      </c>
      <c r="P22" s="7"/>
      <c r="Q22" s="7"/>
      <c r="R22" s="11" t="e">
        <f t="shared" si="38"/>
        <v>#DIV/0!</v>
      </c>
      <c r="S22" s="11" t="e">
        <f t="shared" si="39"/>
        <v>#DIV/0!</v>
      </c>
      <c r="T22" s="7"/>
      <c r="U22" s="7"/>
      <c r="V22" s="11" t="e">
        <f t="shared" si="40"/>
        <v>#DIV/0!</v>
      </c>
      <c r="W22" s="11" t="e">
        <f t="shared" si="41"/>
        <v>#DIV/0!</v>
      </c>
      <c r="X22" s="7"/>
      <c r="Y22" s="7"/>
      <c r="Z22" s="11" t="e">
        <f t="shared" si="42"/>
        <v>#DIV/0!</v>
      </c>
      <c r="AA22" s="11" t="e">
        <f t="shared" si="43"/>
        <v>#DIV/0!</v>
      </c>
      <c r="AB22" s="7"/>
      <c r="AC22" s="7"/>
      <c r="AD22" s="11" t="e">
        <f t="shared" si="44"/>
        <v>#DIV/0!</v>
      </c>
      <c r="AE22" s="11" t="e">
        <f t="shared" si="45"/>
        <v>#DIV/0!</v>
      </c>
      <c r="AF22" s="20"/>
      <c r="AG22" s="20"/>
      <c r="AH22" s="11" t="e">
        <f t="shared" si="46"/>
        <v>#DIV/0!</v>
      </c>
      <c r="AI22" s="11" t="e">
        <f t="shared" si="47"/>
        <v>#DIV/0!</v>
      </c>
      <c r="AJ22" s="20"/>
      <c r="AK22" s="7"/>
      <c r="AL22" s="11" t="e">
        <f t="shared" si="48"/>
        <v>#DIV/0!</v>
      </c>
      <c r="AM22" s="11" t="e">
        <f t="shared" si="49"/>
        <v>#DIV/0!</v>
      </c>
      <c r="AN22" s="65"/>
      <c r="AO22" s="65"/>
      <c r="AP22" s="11" t="e">
        <f t="shared" si="50"/>
        <v>#DIV/0!</v>
      </c>
      <c r="AQ22" s="11" t="e">
        <f t="shared" si="51"/>
        <v>#DIV/0!</v>
      </c>
      <c r="AR22" s="7"/>
      <c r="AS22" s="7"/>
      <c r="AT22" s="11" t="e">
        <f t="shared" si="52"/>
        <v>#DIV/0!</v>
      </c>
      <c r="AU22" s="11" t="e">
        <f t="shared" si="53"/>
        <v>#DIV/0!</v>
      </c>
      <c r="AV22" s="68"/>
      <c r="AW22" s="69"/>
      <c r="AX22" s="11" t="e">
        <f t="shared" si="54"/>
        <v>#DIV/0!</v>
      </c>
      <c r="AY22" s="11" t="e">
        <f t="shared" si="55"/>
        <v>#DIV/0!</v>
      </c>
      <c r="AZ22" s="19">
        <f t="shared" si="56"/>
        <v>62759921</v>
      </c>
      <c r="BA22" s="11" t="e">
        <f t="shared" si="25"/>
        <v>#DIV/0!</v>
      </c>
      <c r="BB22" s="11" t="e">
        <f t="shared" si="26"/>
        <v>#DIV/0!</v>
      </c>
      <c r="BC22" s="63">
        <f t="shared" si="27"/>
        <v>62759921</v>
      </c>
      <c r="BD22" s="63">
        <f t="shared" si="28"/>
        <v>0</v>
      </c>
      <c r="BE22" s="63">
        <f t="shared" si="29"/>
        <v>0</v>
      </c>
      <c r="BF22" s="63">
        <f t="shared" si="30"/>
        <v>0</v>
      </c>
    </row>
    <row r="23" spans="2:58" x14ac:dyDescent="0.35">
      <c r="B23" s="18"/>
      <c r="C23" s="18"/>
      <c r="D23" s="18"/>
      <c r="E23" s="17"/>
      <c r="F23" s="7"/>
      <c r="G23" s="7"/>
      <c r="H23" s="17"/>
      <c r="I23" s="17"/>
      <c r="J23" s="7"/>
      <c r="K23" s="7"/>
      <c r="L23" s="17"/>
      <c r="M23" s="17"/>
      <c r="N23" s="7"/>
      <c r="O23" s="7"/>
      <c r="P23" s="17"/>
      <c r="Q23" s="17"/>
      <c r="R23" s="7"/>
      <c r="S23" s="7"/>
      <c r="T23" s="17"/>
      <c r="U23" s="1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7"/>
      <c r="BB23" s="7"/>
      <c r="BC23" s="4"/>
      <c r="BD23" s="4"/>
      <c r="BE23" s="4"/>
      <c r="BF23" s="4"/>
    </row>
    <row r="24" spans="2:58" x14ac:dyDescent="0.35">
      <c r="B24" s="4"/>
      <c r="C24" s="4" t="s">
        <v>12</v>
      </c>
      <c r="D24" s="5">
        <f t="shared" ref="D24:AM24" si="57">SUM(D7:D23)</f>
        <v>125</v>
      </c>
      <c r="E24" s="5">
        <f t="shared" si="57"/>
        <v>1416343746</v>
      </c>
      <c r="F24" s="10">
        <f t="shared" si="57"/>
        <v>1</v>
      </c>
      <c r="G24" s="10">
        <f t="shared" si="57"/>
        <v>1</v>
      </c>
      <c r="H24" s="5">
        <f t="shared" si="57"/>
        <v>124</v>
      </c>
      <c r="I24" s="5">
        <f t="shared" si="57"/>
        <v>1236947418</v>
      </c>
      <c r="J24" s="10">
        <f t="shared" si="57"/>
        <v>0.99999999999999989</v>
      </c>
      <c r="K24" s="10">
        <f t="shared" si="57"/>
        <v>1</v>
      </c>
      <c r="L24" s="5">
        <f t="shared" si="57"/>
        <v>124</v>
      </c>
      <c r="M24" s="5">
        <f t="shared" si="57"/>
        <v>1198780683</v>
      </c>
      <c r="N24" s="10">
        <f t="shared" si="57"/>
        <v>0.99999999999999989</v>
      </c>
      <c r="O24" s="10">
        <f t="shared" si="57"/>
        <v>1</v>
      </c>
      <c r="P24" s="5">
        <f t="shared" si="57"/>
        <v>0</v>
      </c>
      <c r="Q24" s="5">
        <f t="shared" si="57"/>
        <v>0</v>
      </c>
      <c r="R24" s="10" t="e">
        <f t="shared" si="57"/>
        <v>#DIV/0!</v>
      </c>
      <c r="S24" s="10" t="e">
        <f t="shared" si="57"/>
        <v>#DIV/0!</v>
      </c>
      <c r="T24" s="5">
        <f t="shared" si="57"/>
        <v>0</v>
      </c>
      <c r="U24" s="5">
        <f t="shared" si="57"/>
        <v>0</v>
      </c>
      <c r="V24" s="10" t="e">
        <f t="shared" si="57"/>
        <v>#DIV/0!</v>
      </c>
      <c r="W24" s="10" t="e">
        <f t="shared" si="57"/>
        <v>#DIV/0!</v>
      </c>
      <c r="X24" s="5">
        <f t="shared" si="57"/>
        <v>0</v>
      </c>
      <c r="Y24" s="5">
        <f t="shared" si="57"/>
        <v>0</v>
      </c>
      <c r="Z24" s="10" t="e">
        <f t="shared" si="57"/>
        <v>#DIV/0!</v>
      </c>
      <c r="AA24" s="10" t="e">
        <f t="shared" si="57"/>
        <v>#DIV/0!</v>
      </c>
      <c r="AB24" s="5">
        <f t="shared" si="57"/>
        <v>0</v>
      </c>
      <c r="AC24" s="5">
        <f t="shared" si="57"/>
        <v>0</v>
      </c>
      <c r="AD24" s="10" t="e">
        <f t="shared" si="57"/>
        <v>#DIV/0!</v>
      </c>
      <c r="AE24" s="10" t="e">
        <f t="shared" si="57"/>
        <v>#DIV/0!</v>
      </c>
      <c r="AF24" s="5">
        <f t="shared" si="57"/>
        <v>0</v>
      </c>
      <c r="AG24" s="5">
        <f t="shared" si="57"/>
        <v>0</v>
      </c>
      <c r="AH24" s="10" t="e">
        <f t="shared" si="57"/>
        <v>#DIV/0!</v>
      </c>
      <c r="AI24" s="10" t="e">
        <f t="shared" si="57"/>
        <v>#DIV/0!</v>
      </c>
      <c r="AJ24" s="5">
        <f t="shared" si="57"/>
        <v>0</v>
      </c>
      <c r="AK24" s="5">
        <f t="shared" si="57"/>
        <v>0</v>
      </c>
      <c r="AL24" s="10" t="e">
        <f t="shared" si="57"/>
        <v>#DIV/0!</v>
      </c>
      <c r="AM24" s="10" t="e">
        <f t="shared" si="57"/>
        <v>#DIV/0!</v>
      </c>
      <c r="AN24" s="5">
        <f>SUM(AN7:AN22)</f>
        <v>0</v>
      </c>
      <c r="AO24" s="5">
        <f>SUM(AO7:AO23)</f>
        <v>0</v>
      </c>
      <c r="AP24" s="10" t="e">
        <f>SUM(AP7:AP23)</f>
        <v>#DIV/0!</v>
      </c>
      <c r="AQ24" s="10" t="e">
        <f>SUM(AQ7:AQ23)</f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 t="shared" ref="AW24:BF24" si="58">SUM(AW7:AW23)</f>
        <v>0</v>
      </c>
      <c r="AX24" s="10" t="e">
        <f t="shared" si="58"/>
        <v>#DIV/0!</v>
      </c>
      <c r="AY24" s="10" t="e">
        <f t="shared" si="58"/>
        <v>#DIV/0!</v>
      </c>
      <c r="AZ24" s="5">
        <f t="shared" si="58"/>
        <v>3852071847</v>
      </c>
      <c r="BA24" s="10" t="e">
        <f>SUM(BA7:BA23)</f>
        <v>#DIV/0!</v>
      </c>
      <c r="BB24" s="10" t="e">
        <f t="shared" si="58"/>
        <v>#DIV/0!</v>
      </c>
      <c r="BC24" s="5">
        <f t="shared" si="58"/>
        <v>3852071847</v>
      </c>
      <c r="BD24" s="5">
        <f t="shared" si="58"/>
        <v>0</v>
      </c>
      <c r="BE24" s="5">
        <f t="shared" si="58"/>
        <v>0</v>
      </c>
      <c r="BF24" s="5">
        <f t="shared" si="58"/>
        <v>0</v>
      </c>
    </row>
    <row r="25" spans="2:58" x14ac:dyDescent="0.3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8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 t="s">
        <v>71</v>
      </c>
      <c r="AX26" s="1" t="s">
        <v>59</v>
      </c>
      <c r="AY26" s="1" t="s">
        <v>60</v>
      </c>
      <c r="AZ26" s="1">
        <f>BC10+BC16+BC17</f>
        <v>1630447434</v>
      </c>
      <c r="BA26" s="1"/>
      <c r="BB26" s="1"/>
    </row>
    <row r="27" spans="2:58" x14ac:dyDescent="0.35">
      <c r="AY27" s="1" t="s">
        <v>61</v>
      </c>
      <c r="AZ27" s="8">
        <f>BC7+BC8+BC9+BC11+BC12+BC14+BC15+BC18+BC19+BC20+BC21+BC22</f>
        <v>2221624413</v>
      </c>
    </row>
    <row r="29" spans="2:58" x14ac:dyDescent="0.35">
      <c r="AK29" s="31"/>
      <c r="AW29" s="1" t="s">
        <v>72</v>
      </c>
      <c r="AX29" t="s">
        <v>62</v>
      </c>
      <c r="AY29" s="1" t="s">
        <v>60</v>
      </c>
      <c r="AZ29" s="1">
        <f>BD10+BD16+BD17</f>
        <v>0</v>
      </c>
    </row>
    <row r="30" spans="2:58" x14ac:dyDescent="0.35">
      <c r="AK30" s="31"/>
      <c r="AY30" s="1" t="s">
        <v>61</v>
      </c>
      <c r="AZ30" s="8">
        <f>BD7+BD8+BD9+BD11+BD12+BD14+BD15+BD18+BD19+BD20+BD21+BD22</f>
        <v>0</v>
      </c>
    </row>
    <row r="31" spans="2:58" x14ac:dyDescent="0.35">
      <c r="AK31" s="31"/>
    </row>
    <row r="32" spans="2:58" x14ac:dyDescent="0.35">
      <c r="AK32" s="31"/>
      <c r="AW32" s="1" t="s">
        <v>73</v>
      </c>
      <c r="AX32" s="1" t="s">
        <v>59</v>
      </c>
      <c r="AY32" s="1" t="s">
        <v>60</v>
      </c>
      <c r="AZ32" s="1">
        <f>BE10+BE16+BE17</f>
        <v>0</v>
      </c>
    </row>
    <row r="33" spans="37:52" x14ac:dyDescent="0.35">
      <c r="AK33" s="31"/>
      <c r="AY33" s="1" t="s">
        <v>61</v>
      </c>
      <c r="AZ33" s="8">
        <f>BE7+BE8+BE9+BE11+BE12+BE14+BE15+BE18+BE19+BE20+BE21+BE22</f>
        <v>0</v>
      </c>
    </row>
    <row r="34" spans="37:52" x14ac:dyDescent="0.35">
      <c r="AK34" s="31"/>
    </row>
    <row r="35" spans="37:52" x14ac:dyDescent="0.35">
      <c r="AK35" s="32"/>
      <c r="AW35" s="1" t="s">
        <v>74</v>
      </c>
      <c r="AX35" t="s">
        <v>62</v>
      </c>
      <c r="AY35" s="1" t="s">
        <v>60</v>
      </c>
      <c r="AZ35" s="1">
        <f>BF10+BF16+BF17</f>
        <v>0</v>
      </c>
    </row>
    <row r="36" spans="37:52" x14ac:dyDescent="0.35">
      <c r="AY36" s="1" t="s">
        <v>61</v>
      </c>
      <c r="AZ36" s="8">
        <f>BF7+BF8+BF9+BF11+BF12+BF14+BF15+BF18+BF19+BF20+BF21+BF22</f>
        <v>0</v>
      </c>
    </row>
    <row r="37" spans="37:52" x14ac:dyDescent="0.35">
      <c r="AY37" s="1"/>
      <c r="AZ37" s="8"/>
    </row>
  </sheetData>
  <mergeCells count="13">
    <mergeCell ref="T5:U5"/>
    <mergeCell ref="D5:G5"/>
    <mergeCell ref="H5:I5"/>
    <mergeCell ref="L5:M5"/>
    <mergeCell ref="P5:Q5"/>
    <mergeCell ref="BC5:BF5"/>
    <mergeCell ref="AV5:AW5"/>
    <mergeCell ref="X5:Y5"/>
    <mergeCell ref="AB5:AC5"/>
    <mergeCell ref="AF5:AG5"/>
    <mergeCell ref="AJ5:AK5"/>
    <mergeCell ref="AN5:AO5"/>
    <mergeCell ref="AR5:AS5"/>
  </mergeCells>
  <conditionalFormatting sqref="D13">
    <cfRule type="top10" dxfId="551" priority="6" rank="1"/>
    <cfRule type="top10" dxfId="550" priority="5" bottom="1" rank="1"/>
  </conditionalFormatting>
  <conditionalFormatting sqref="E7:E22">
    <cfRule type="top10" dxfId="549" priority="9" bottom="1" rank="1"/>
    <cfRule type="top10" dxfId="548" priority="10" rank="1"/>
  </conditionalFormatting>
  <conditionalFormatting sqref="E23">
    <cfRule type="top10" dxfId="547" priority="97" bottom="1" rank="1"/>
    <cfRule type="top10" dxfId="546" priority="98" rank="1"/>
  </conditionalFormatting>
  <conditionalFormatting sqref="H13:I13">
    <cfRule type="top10" dxfId="545" priority="7" bottom="1" rank="1"/>
    <cfRule type="top10" dxfId="544" priority="8" rank="1"/>
  </conditionalFormatting>
  <conditionalFormatting sqref="I7:I12 I14:I23">
    <cfRule type="top10" dxfId="543" priority="101" bottom="1" rank="1"/>
    <cfRule type="top10" dxfId="542" priority="102" rank="1"/>
  </conditionalFormatting>
  <conditionalFormatting sqref="L13:M13">
    <cfRule type="top10" dxfId="541" priority="2" rank="1"/>
    <cfRule type="top10" dxfId="540" priority="1" bottom="1" rank="1"/>
  </conditionalFormatting>
  <conditionalFormatting sqref="M7:M12 M14:M22">
    <cfRule type="top10" dxfId="539" priority="3" bottom="1" rank="1"/>
    <cfRule type="top10" dxfId="538" priority="4" rank="1"/>
  </conditionalFormatting>
  <conditionalFormatting sqref="M23">
    <cfRule type="top10" dxfId="537" priority="105" bottom="1" rank="1"/>
    <cfRule type="top10" dxfId="536" priority="106" rank="1"/>
  </conditionalFormatting>
  <conditionalFormatting sqref="Q7:Q23">
    <cfRule type="top10" dxfId="535" priority="109" bottom="1" rank="1"/>
    <cfRule type="top10" dxfId="534" priority="110" rank="1"/>
  </conditionalFormatting>
  <conditionalFormatting sqref="U7:U23">
    <cfRule type="top10" dxfId="533" priority="113" bottom="1" rank="1"/>
    <cfRule type="top10" dxfId="532" priority="114" rank="1"/>
  </conditionalFormatting>
  <conditionalFormatting sqref="Y7:Y23">
    <cfRule type="top10" dxfId="531" priority="117" bottom="1" rank="1"/>
    <cfRule type="top10" dxfId="530" priority="118" rank="1"/>
  </conditionalFormatting>
  <conditionalFormatting sqref="AC7:AC22">
    <cfRule type="top10" dxfId="529" priority="137" bottom="1" rank="1"/>
    <cfRule type="top10" dxfId="528" priority="138" rank="1"/>
  </conditionalFormatting>
  <conditionalFormatting sqref="AC23">
    <cfRule type="top10" dxfId="527" priority="31" bottom="1" rank="1"/>
    <cfRule type="top10" dxfId="526" priority="32" rank="1"/>
  </conditionalFormatting>
  <conditionalFormatting sqref="AG7:AG22">
    <cfRule type="top10" dxfId="525" priority="141" bottom="1" rank="1"/>
    <cfRule type="top10" dxfId="524" priority="142" rank="1"/>
  </conditionalFormatting>
  <conditionalFormatting sqref="AG23">
    <cfRule type="top10" dxfId="523" priority="29" bottom="1" rank="1"/>
    <cfRule type="top10" dxfId="522" priority="30" rank="1"/>
  </conditionalFormatting>
  <conditionalFormatting sqref="AK7:AK23">
    <cfRule type="top10" dxfId="521" priority="121" bottom="1" rank="1"/>
    <cfRule type="top10" dxfId="520" priority="122" rank="1"/>
  </conditionalFormatting>
  <conditionalFormatting sqref="AO7:AO23">
    <cfRule type="top10" dxfId="519" priority="125" bottom="1" rank="1"/>
    <cfRule type="top10" dxfId="518" priority="126" rank="1"/>
  </conditionalFormatting>
  <conditionalFormatting sqref="AS7:AS22">
    <cfRule type="top10" dxfId="517" priority="145" bottom="1" rank="1"/>
    <cfRule type="top10" dxfId="516" priority="146" rank="1"/>
  </conditionalFormatting>
  <conditionalFormatting sqref="AS23">
    <cfRule type="top10" dxfId="515" priority="23" bottom="1" rank="1"/>
    <cfRule type="top10" dxfId="514" priority="24" rank="1"/>
  </conditionalFormatting>
  <conditionalFormatting sqref="AW7:AW23">
    <cfRule type="top10" dxfId="513" priority="129" bottom="1" rank="1"/>
    <cfRule type="top10" dxfId="512" priority="130" rank="1"/>
  </conditionalFormatting>
  <conditionalFormatting sqref="AZ7:AZ23">
    <cfRule type="top10" dxfId="511" priority="133" bottom="1" rank="1"/>
    <cfRule type="top10" dxfId="510" priority="134" rank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B1:BF36"/>
  <sheetViews>
    <sheetView zoomScaleNormal="100" workbookViewId="0">
      <pane xSplit="3" ySplit="6" topLeftCell="I7" activePane="bottomRight" state="frozen"/>
      <selection activeCell="H17" sqref="H17"/>
      <selection pane="topRight" activeCell="H17" sqref="H17"/>
      <selection pane="bottomLeft" activeCell="H17" sqref="H17"/>
      <selection pane="bottomRight" activeCell="M9" sqref="M9:M10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7" width="8.453125" bestFit="1" customWidth="1"/>
    <col min="8" max="8" width="6.26953125" customWidth="1"/>
    <col min="9" max="9" width="14.54296875" bestFit="1" customWidth="1"/>
    <col min="10" max="11" width="8.1796875" customWidth="1"/>
    <col min="12" max="12" width="6.26953125" customWidth="1"/>
    <col min="13" max="13" width="14.54296875" bestFit="1" customWidth="1"/>
    <col min="14" max="15" width="8" customWidth="1"/>
    <col min="16" max="16" width="6.26953125" customWidth="1"/>
    <col min="17" max="17" width="17.54296875" bestFit="1" customWidth="1"/>
    <col min="18" max="19" width="8.1796875" bestFit="1" customWidth="1"/>
    <col min="20" max="20" width="6.26953125" customWidth="1"/>
    <col min="21" max="21" width="15.26953125" bestFit="1" customWidth="1"/>
    <col min="22" max="23" width="8" customWidth="1"/>
    <col min="24" max="24" width="6.26953125" customWidth="1"/>
    <col min="25" max="25" width="14.81640625" bestFit="1" customWidth="1"/>
    <col min="26" max="27" width="8.1796875" customWidth="1"/>
    <col min="28" max="28" width="6.26953125" customWidth="1"/>
    <col min="29" max="29" width="15.26953125" bestFit="1" customWidth="1"/>
    <col min="30" max="31" width="8.1796875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6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8.1796875" customWidth="1"/>
    <col min="48" max="48" width="6.26953125" customWidth="1"/>
    <col min="49" max="49" width="15.81640625" bestFit="1" customWidth="1"/>
    <col min="50" max="50" width="8.1796875" customWidth="1"/>
    <col min="51" max="51" width="16.26953125" bestFit="1" customWidth="1"/>
    <col min="52" max="52" width="15.81640625" bestFit="1" customWidth="1"/>
    <col min="53" max="53" width="8.1796875" customWidth="1"/>
    <col min="54" max="54" width="8.26953125" customWidth="1"/>
    <col min="55" max="58" width="15.81640625" customWidth="1"/>
  </cols>
  <sheetData>
    <row r="1" spans="2:58" x14ac:dyDescent="0.35">
      <c r="B1" t="s">
        <v>63</v>
      </c>
      <c r="AW1" s="8"/>
      <c r="AZ1" s="8"/>
    </row>
    <row r="2" spans="2:58" x14ac:dyDescent="0.35">
      <c r="B2" t="s">
        <v>57</v>
      </c>
      <c r="AS2" t="s">
        <v>58</v>
      </c>
      <c r="AW2" s="8"/>
      <c r="AZ2" s="8"/>
    </row>
    <row r="3" spans="2:58" x14ac:dyDescent="0.35">
      <c r="B3" t="s">
        <v>79</v>
      </c>
      <c r="AO3" s="6"/>
    </row>
    <row r="4" spans="2:58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  <c r="BC5" s="72">
        <v>2025</v>
      </c>
      <c r="BD5" s="72"/>
      <c r="BE5" s="72"/>
      <c r="BF5" s="72"/>
    </row>
    <row r="6" spans="2:58" s="14" customFormat="1" ht="29" x14ac:dyDescent="0.35">
      <c r="B6" s="12"/>
      <c r="C6" s="12"/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32</v>
      </c>
      <c r="BA6" s="13" t="s">
        <v>27</v>
      </c>
      <c r="BB6" s="13" t="s">
        <v>28</v>
      </c>
      <c r="BC6" s="64" t="s">
        <v>75</v>
      </c>
      <c r="BD6" s="64" t="s">
        <v>76</v>
      </c>
      <c r="BE6" s="64" t="s">
        <v>77</v>
      </c>
      <c r="BF6" s="64" t="s">
        <v>78</v>
      </c>
    </row>
    <row r="7" spans="2:58" s="6" customFormat="1" x14ac:dyDescent="0.35">
      <c r="B7" s="23">
        <v>1</v>
      </c>
      <c r="C7" s="3" t="s">
        <v>31</v>
      </c>
      <c r="D7" s="7"/>
      <c r="E7" s="7"/>
      <c r="F7" s="11">
        <f t="shared" ref="F7:F13" si="0">D7/$D$24</f>
        <v>0</v>
      </c>
      <c r="G7" s="11">
        <f t="shared" ref="G7:G13" si="1">E7/$E$24</f>
        <v>0</v>
      </c>
      <c r="H7" s="24"/>
      <c r="I7" s="24"/>
      <c r="J7" s="11">
        <f t="shared" ref="J7:J13" si="2">H7/$H$24</f>
        <v>0</v>
      </c>
      <c r="K7" s="11">
        <f t="shared" ref="K7:K13" si="3">I7/$I$24</f>
        <v>0</v>
      </c>
      <c r="L7" s="24"/>
      <c r="M7" s="24"/>
      <c r="N7" s="11">
        <f t="shared" ref="N7:N13" si="4">L7/$L$24</f>
        <v>0</v>
      </c>
      <c r="O7" s="11">
        <f t="shared" ref="O7:O13" si="5">M7/$M$24</f>
        <v>0</v>
      </c>
      <c r="P7" s="19"/>
      <c r="Q7" s="19"/>
      <c r="R7" s="11" t="e">
        <f t="shared" ref="R7:R13" si="6">P7/$P$24</f>
        <v>#DIV/0!</v>
      </c>
      <c r="S7" s="11" t="e">
        <f t="shared" ref="S7:S13" si="7">Q7/$Q$24</f>
        <v>#DIV/0!</v>
      </c>
      <c r="T7" s="24"/>
      <c r="U7" s="24"/>
      <c r="V7" s="11" t="e">
        <f t="shared" ref="V7:V13" si="8">T7/$T$24</f>
        <v>#DIV/0!</v>
      </c>
      <c r="W7" s="11" t="e">
        <f t="shared" ref="W7:W13" si="9">U7/$U$24</f>
        <v>#DIV/0!</v>
      </c>
      <c r="X7" s="24"/>
      <c r="Y7" s="24"/>
      <c r="Z7" s="11" t="e">
        <f t="shared" ref="Z7:Z13" si="10">X7/$X$24</f>
        <v>#DIV/0!</v>
      </c>
      <c r="AA7" s="11" t="e">
        <f t="shared" ref="AA7:AA13" si="11">Y7/$Y$24</f>
        <v>#DIV/0!</v>
      </c>
      <c r="AB7" s="25"/>
      <c r="AC7" s="24"/>
      <c r="AD7" s="11" t="e">
        <f t="shared" ref="AD7:AD13" si="12">AB7/$AB$24</f>
        <v>#DIV/0!</v>
      </c>
      <c r="AE7" s="11" t="e">
        <f t="shared" ref="AE7:AE13" si="13">AC7/$AC$24</f>
        <v>#DIV/0!</v>
      </c>
      <c r="AF7" s="25"/>
      <c r="AG7" s="24"/>
      <c r="AH7" s="11" t="e">
        <f t="shared" ref="AH7:AH13" si="14">AF7/$AF$24</f>
        <v>#DIV/0!</v>
      </c>
      <c r="AI7" s="11" t="e">
        <f t="shared" ref="AI7:AI13" si="15">AG7/$AG$24</f>
        <v>#DIV/0!</v>
      </c>
      <c r="AJ7" s="25"/>
      <c r="AK7" s="25"/>
      <c r="AL7" s="11" t="e">
        <f t="shared" ref="AL7:AL13" si="16">AJ7/$AJ$24</f>
        <v>#DIV/0!</v>
      </c>
      <c r="AM7" s="11" t="e">
        <f t="shared" ref="AM7:AM13" si="17">AK7/$AK$24</f>
        <v>#DIV/0!</v>
      </c>
      <c r="AN7" s="24"/>
      <c r="AO7" s="24"/>
      <c r="AP7" s="11" t="e">
        <f t="shared" ref="AP7:AP13" si="18">AN7/$AN$24</f>
        <v>#DIV/0!</v>
      </c>
      <c r="AQ7" s="11" t="e">
        <f t="shared" ref="AQ7:AQ13" si="19">AO7/$AO$24</f>
        <v>#DIV/0!</v>
      </c>
      <c r="AR7" s="24"/>
      <c r="AS7" s="25"/>
      <c r="AT7" s="11" t="e">
        <f t="shared" ref="AT7:AT13" si="20">AR7/$AR$24</f>
        <v>#DIV/0!</v>
      </c>
      <c r="AU7" s="11" t="e">
        <f t="shared" ref="AU7:AU13" si="21">AS7/$AS$24</f>
        <v>#DIV/0!</v>
      </c>
      <c r="AV7" s="24"/>
      <c r="AW7" s="24"/>
      <c r="AX7" s="11" t="e">
        <f t="shared" ref="AX7:AX13" si="22">AV7/$AJ$24</f>
        <v>#DIV/0!</v>
      </c>
      <c r="AY7" s="11" t="e">
        <f t="shared" ref="AY7:AY13" si="23">AW7/$AK$24</f>
        <v>#DIV/0!</v>
      </c>
      <c r="AZ7" s="19">
        <f t="shared" ref="AZ7:AZ12" si="24">E7+I7+M7+Q7+U7+Y7+AC7+AG7+AK7+AO7+AS7+AW7</f>
        <v>0</v>
      </c>
      <c r="BA7" s="11" t="e">
        <f t="shared" ref="BA7:BA22" si="25">AVERAGE(F7,J7,N7,R7,V7,Z7,AD7,AH7,AL7,AP7,AT7,AX7)</f>
        <v>#DIV/0!</v>
      </c>
      <c r="BB7" s="11" t="e">
        <f t="shared" ref="BB7:BB22" si="26">AVERAGE(G7,K7,O7,S7,W7,AA7,AE7,AI7,AM7,AQ7,AU7,AY7)</f>
        <v>#DIV/0!</v>
      </c>
      <c r="BC7" s="63">
        <f t="shared" ref="BC7:BC22" si="27">E7+I7+M7</f>
        <v>0</v>
      </c>
      <c r="BD7" s="63">
        <f t="shared" ref="BD7:BD22" si="28">Q7+U7+Y7</f>
        <v>0</v>
      </c>
      <c r="BE7" s="63">
        <f>AC7+AG7+AK7</f>
        <v>0</v>
      </c>
      <c r="BF7" s="63">
        <f>AO7+AS7+AW7</f>
        <v>0</v>
      </c>
    </row>
    <row r="8" spans="2:58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20"/>
      <c r="I8" s="7"/>
      <c r="J8" s="11">
        <f t="shared" si="2"/>
        <v>0</v>
      </c>
      <c r="K8" s="11">
        <f t="shared" si="3"/>
        <v>0</v>
      </c>
      <c r="L8" s="20"/>
      <c r="M8" s="7"/>
      <c r="N8" s="11">
        <f t="shared" si="4"/>
        <v>0</v>
      </c>
      <c r="O8" s="11">
        <f t="shared" si="5"/>
        <v>0</v>
      </c>
      <c r="P8" s="20"/>
      <c r="Q8" s="7"/>
      <c r="R8" s="11" t="e">
        <f t="shared" si="6"/>
        <v>#DIV/0!</v>
      </c>
      <c r="S8" s="11" t="e">
        <f t="shared" si="7"/>
        <v>#DIV/0!</v>
      </c>
      <c r="T8" s="20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7"/>
      <c r="AC8" s="20"/>
      <c r="AD8" s="11" t="e">
        <f t="shared" si="12"/>
        <v>#DIV/0!</v>
      </c>
      <c r="AE8" s="11" t="e">
        <f t="shared" si="13"/>
        <v>#DIV/0!</v>
      </c>
      <c r="AF8" s="7"/>
      <c r="AG8" s="7"/>
      <c r="AH8" s="11" t="e">
        <f t="shared" si="14"/>
        <v>#DIV/0!</v>
      </c>
      <c r="AI8" s="11" t="e">
        <f t="shared" si="15"/>
        <v>#DIV/0!</v>
      </c>
      <c r="AJ8" s="7"/>
      <c r="AK8" s="7"/>
      <c r="AL8" s="11" t="e">
        <f t="shared" si="16"/>
        <v>#DIV/0!</v>
      </c>
      <c r="AM8" s="11" t="e">
        <f t="shared" si="17"/>
        <v>#DIV/0!</v>
      </c>
      <c r="AN8" s="20"/>
      <c r="AO8" s="7"/>
      <c r="AP8" s="11" t="e">
        <f t="shared" si="18"/>
        <v>#DIV/0!</v>
      </c>
      <c r="AQ8" s="11" t="e">
        <f t="shared" si="19"/>
        <v>#DIV/0!</v>
      </c>
      <c r="AR8" s="7"/>
      <c r="AS8" s="7"/>
      <c r="AT8" s="11" t="e">
        <f t="shared" si="20"/>
        <v>#DIV/0!</v>
      </c>
      <c r="AU8" s="11" t="e">
        <f t="shared" si="21"/>
        <v>#DIV/0!</v>
      </c>
      <c r="AV8" s="20"/>
      <c r="AW8" s="20"/>
      <c r="AX8" s="11" t="e">
        <f t="shared" si="22"/>
        <v>#DIV/0!</v>
      </c>
      <c r="AY8" s="11" t="e">
        <f t="shared" si="23"/>
        <v>#DIV/0!</v>
      </c>
      <c r="AZ8" s="19">
        <f t="shared" si="24"/>
        <v>0</v>
      </c>
      <c r="BA8" s="11" t="e">
        <f t="shared" si="25"/>
        <v>#DIV/0!</v>
      </c>
      <c r="BB8" s="11" t="e">
        <f t="shared" si="26"/>
        <v>#DIV/0!</v>
      </c>
      <c r="BC8" s="63">
        <f t="shared" si="27"/>
        <v>0</v>
      </c>
      <c r="BD8" s="63">
        <f t="shared" si="28"/>
        <v>0</v>
      </c>
      <c r="BE8" s="63">
        <f t="shared" ref="BE8:BE22" si="29">AC8+AG8+AK8</f>
        <v>0</v>
      </c>
      <c r="BF8" s="63">
        <f t="shared" ref="BF8:BF22" si="30">AO8+AS8+AW8</f>
        <v>0</v>
      </c>
    </row>
    <row r="9" spans="2:58" x14ac:dyDescent="0.35">
      <c r="B9" s="3">
        <f t="shared" ref="B9:B22" si="31">B8+1</f>
        <v>3</v>
      </c>
      <c r="C9" s="3" t="s">
        <v>18</v>
      </c>
      <c r="D9" s="7">
        <v>2</v>
      </c>
      <c r="E9" s="7">
        <v>24420074</v>
      </c>
      <c r="F9" s="11">
        <f t="shared" si="0"/>
        <v>0.1111111111111111</v>
      </c>
      <c r="G9" s="11">
        <f t="shared" si="1"/>
        <v>0.11875571099808625</v>
      </c>
      <c r="H9" s="20">
        <v>2</v>
      </c>
      <c r="I9" s="7">
        <v>22887764</v>
      </c>
      <c r="J9" s="11">
        <f t="shared" si="2"/>
        <v>0.125</v>
      </c>
      <c r="K9" s="11">
        <f t="shared" si="3"/>
        <v>0.13085235068912784</v>
      </c>
      <c r="L9" s="20">
        <v>2</v>
      </c>
      <c r="M9" s="7">
        <v>22291358</v>
      </c>
      <c r="N9" s="11">
        <f t="shared" si="4"/>
        <v>0.125</v>
      </c>
      <c r="O9" s="11">
        <f t="shared" si="5"/>
        <v>0.13036495348994581</v>
      </c>
      <c r="P9" s="20"/>
      <c r="Q9" s="7"/>
      <c r="R9" s="11" t="e">
        <f t="shared" si="6"/>
        <v>#DIV/0!</v>
      </c>
      <c r="S9" s="11" t="e">
        <f t="shared" si="7"/>
        <v>#DIV/0!</v>
      </c>
      <c r="T9" s="20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7"/>
      <c r="AC9" s="20"/>
      <c r="AD9" s="11" t="e">
        <f t="shared" si="12"/>
        <v>#DIV/0!</v>
      </c>
      <c r="AE9" s="11" t="e">
        <f t="shared" si="13"/>
        <v>#DIV/0!</v>
      </c>
      <c r="AF9" s="7"/>
      <c r="AG9" s="7"/>
      <c r="AH9" s="11" t="e">
        <f t="shared" si="14"/>
        <v>#DIV/0!</v>
      </c>
      <c r="AI9" s="11" t="e">
        <f t="shared" si="15"/>
        <v>#DIV/0!</v>
      </c>
      <c r="AJ9" s="7"/>
      <c r="AK9" s="7"/>
      <c r="AL9" s="11" t="e">
        <f t="shared" si="16"/>
        <v>#DIV/0!</v>
      </c>
      <c r="AM9" s="11" t="e">
        <f t="shared" si="17"/>
        <v>#DIV/0!</v>
      </c>
      <c r="AN9" s="20"/>
      <c r="AO9" s="7"/>
      <c r="AP9" s="11" t="e">
        <f t="shared" si="18"/>
        <v>#DIV/0!</v>
      </c>
      <c r="AQ9" s="11" t="e">
        <f t="shared" si="19"/>
        <v>#DIV/0!</v>
      </c>
      <c r="AR9" s="7"/>
      <c r="AS9" s="7"/>
      <c r="AT9" s="11" t="e">
        <f t="shared" si="20"/>
        <v>#DIV/0!</v>
      </c>
      <c r="AU9" s="11" t="e">
        <f t="shared" si="21"/>
        <v>#DIV/0!</v>
      </c>
      <c r="AV9" s="20"/>
      <c r="AW9" s="20"/>
      <c r="AX9" s="11" t="e">
        <f t="shared" si="22"/>
        <v>#DIV/0!</v>
      </c>
      <c r="AY9" s="11" t="e">
        <f t="shared" si="23"/>
        <v>#DIV/0!</v>
      </c>
      <c r="AZ9" s="19">
        <f t="shared" si="24"/>
        <v>69599196</v>
      </c>
      <c r="BA9" s="11" t="e">
        <f t="shared" si="25"/>
        <v>#DIV/0!</v>
      </c>
      <c r="BB9" s="11" t="e">
        <f t="shared" si="26"/>
        <v>#DIV/0!</v>
      </c>
      <c r="BC9" s="63">
        <f t="shared" si="27"/>
        <v>69599196</v>
      </c>
      <c r="BD9" s="63">
        <f t="shared" si="28"/>
        <v>0</v>
      </c>
      <c r="BE9" s="63">
        <f t="shared" si="29"/>
        <v>0</v>
      </c>
      <c r="BF9" s="63">
        <f t="shared" si="30"/>
        <v>0</v>
      </c>
    </row>
    <row r="10" spans="2:58" x14ac:dyDescent="0.35">
      <c r="B10" s="3">
        <f t="shared" si="31"/>
        <v>4</v>
      </c>
      <c r="C10" s="3" t="s">
        <v>19</v>
      </c>
      <c r="D10" s="7">
        <v>16</v>
      </c>
      <c r="E10" s="7">
        <v>181212765</v>
      </c>
      <c r="F10" s="11">
        <f t="shared" si="0"/>
        <v>0.88888888888888884</v>
      </c>
      <c r="G10" s="11">
        <f t="shared" si="1"/>
        <v>0.88124428900191376</v>
      </c>
      <c r="H10" s="7">
        <v>14</v>
      </c>
      <c r="I10" s="7">
        <v>152025135</v>
      </c>
      <c r="J10" s="11">
        <f t="shared" si="2"/>
        <v>0.875</v>
      </c>
      <c r="K10" s="11">
        <f t="shared" si="3"/>
        <v>0.86914764931087218</v>
      </c>
      <c r="L10" s="7">
        <v>14</v>
      </c>
      <c r="M10" s="7">
        <v>148700595</v>
      </c>
      <c r="N10" s="11">
        <f t="shared" si="4"/>
        <v>0.875</v>
      </c>
      <c r="O10" s="11">
        <f t="shared" si="5"/>
        <v>0.86963504651005419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20"/>
      <c r="AG10" s="20"/>
      <c r="AH10" s="11" t="e">
        <f t="shared" si="14"/>
        <v>#DIV/0!</v>
      </c>
      <c r="AI10" s="11" t="e">
        <f t="shared" si="15"/>
        <v>#DIV/0!</v>
      </c>
      <c r="AJ10" s="20"/>
      <c r="AK10" s="7"/>
      <c r="AL10" s="11" t="e">
        <f t="shared" si="16"/>
        <v>#DIV/0!</v>
      </c>
      <c r="AM10" s="11" t="e">
        <f t="shared" si="17"/>
        <v>#DIV/0!</v>
      </c>
      <c r="AN10" s="7"/>
      <c r="AO10" s="7"/>
      <c r="AP10" s="11" t="e">
        <f t="shared" si="18"/>
        <v>#DIV/0!</v>
      </c>
      <c r="AQ10" s="11" t="e">
        <f t="shared" si="19"/>
        <v>#DIV/0!</v>
      </c>
      <c r="AR10" s="7"/>
      <c r="AS10" s="7"/>
      <c r="AT10" s="11" t="e">
        <f t="shared" si="20"/>
        <v>#DIV/0!</v>
      </c>
      <c r="AU10" s="11" t="e">
        <f t="shared" si="21"/>
        <v>#DIV/0!</v>
      </c>
      <c r="AV10" s="20"/>
      <c r="AW10" s="20"/>
      <c r="AX10" s="11" t="e">
        <f t="shared" si="22"/>
        <v>#DIV/0!</v>
      </c>
      <c r="AY10" s="11" t="e">
        <f t="shared" si="23"/>
        <v>#DIV/0!</v>
      </c>
      <c r="AZ10" s="19">
        <f t="shared" si="24"/>
        <v>481938495</v>
      </c>
      <c r="BA10" s="11" t="e">
        <f t="shared" si="25"/>
        <v>#DIV/0!</v>
      </c>
      <c r="BB10" s="11" t="e">
        <f t="shared" si="26"/>
        <v>#DIV/0!</v>
      </c>
      <c r="BC10" s="63">
        <f t="shared" si="27"/>
        <v>481938495</v>
      </c>
      <c r="BD10" s="63">
        <f t="shared" si="28"/>
        <v>0</v>
      </c>
      <c r="BE10" s="63">
        <f t="shared" si="29"/>
        <v>0</v>
      </c>
      <c r="BF10" s="63">
        <f t="shared" si="30"/>
        <v>0</v>
      </c>
    </row>
    <row r="11" spans="2:58" x14ac:dyDescent="0.35">
      <c r="B11" s="3">
        <f t="shared" si="31"/>
        <v>5</v>
      </c>
      <c r="C11" s="3" t="s">
        <v>20</v>
      </c>
      <c r="D11" s="7"/>
      <c r="E11" s="7"/>
      <c r="F11" s="11">
        <f t="shared" si="0"/>
        <v>0</v>
      </c>
      <c r="G11" s="11">
        <f t="shared" si="1"/>
        <v>0</v>
      </c>
      <c r="H11" s="7"/>
      <c r="I11" s="7"/>
      <c r="J11" s="11">
        <f t="shared" si="2"/>
        <v>0</v>
      </c>
      <c r="K11" s="11">
        <f t="shared" si="3"/>
        <v>0</v>
      </c>
      <c r="L11" s="7"/>
      <c r="M11" s="7"/>
      <c r="N11" s="11">
        <f t="shared" si="4"/>
        <v>0</v>
      </c>
      <c r="O11" s="11">
        <f t="shared" si="5"/>
        <v>0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20"/>
      <c r="AG11" s="20"/>
      <c r="AH11" s="11" t="e">
        <f t="shared" si="14"/>
        <v>#DIV/0!</v>
      </c>
      <c r="AI11" s="11" t="e">
        <f t="shared" si="15"/>
        <v>#DIV/0!</v>
      </c>
      <c r="AJ11" s="20"/>
      <c r="AK11" s="7"/>
      <c r="AL11" s="11" t="e">
        <f t="shared" si="16"/>
        <v>#DIV/0!</v>
      </c>
      <c r="AM11" s="11" t="e">
        <f t="shared" si="17"/>
        <v>#DIV/0!</v>
      </c>
      <c r="AN11" s="7"/>
      <c r="AO11" s="7"/>
      <c r="AP11" s="11" t="e">
        <f t="shared" si="18"/>
        <v>#DIV/0!</v>
      </c>
      <c r="AQ11" s="11" t="e">
        <f t="shared" si="19"/>
        <v>#DIV/0!</v>
      </c>
      <c r="AR11" s="7"/>
      <c r="AS11" s="7"/>
      <c r="AT11" s="11" t="e">
        <f t="shared" si="20"/>
        <v>#DIV/0!</v>
      </c>
      <c r="AU11" s="11" t="e">
        <f t="shared" si="21"/>
        <v>#DIV/0!</v>
      </c>
      <c r="AV11" s="20"/>
      <c r="AW11" s="20"/>
      <c r="AX11" s="11" t="e">
        <f t="shared" si="22"/>
        <v>#DIV/0!</v>
      </c>
      <c r="AY11" s="11" t="e">
        <f t="shared" si="23"/>
        <v>#DIV/0!</v>
      </c>
      <c r="AZ11" s="19">
        <f t="shared" si="24"/>
        <v>0</v>
      </c>
      <c r="BA11" s="11" t="e">
        <f t="shared" si="25"/>
        <v>#DIV/0!</v>
      </c>
      <c r="BB11" s="11" t="e">
        <f t="shared" si="26"/>
        <v>#DIV/0!</v>
      </c>
      <c r="BC11" s="63">
        <f t="shared" si="27"/>
        <v>0</v>
      </c>
      <c r="BD11" s="63">
        <f t="shared" si="28"/>
        <v>0</v>
      </c>
      <c r="BE11" s="63">
        <f t="shared" si="29"/>
        <v>0</v>
      </c>
      <c r="BF11" s="63">
        <f t="shared" si="30"/>
        <v>0</v>
      </c>
    </row>
    <row r="12" spans="2:58" x14ac:dyDescent="0.35">
      <c r="B12" s="3">
        <f t="shared" si="31"/>
        <v>6</v>
      </c>
      <c r="C12" s="3" t="s">
        <v>66</v>
      </c>
      <c r="D12" s="7"/>
      <c r="E12" s="7"/>
      <c r="F12" s="11">
        <f t="shared" si="0"/>
        <v>0</v>
      </c>
      <c r="G12" s="11">
        <f t="shared" si="1"/>
        <v>0</v>
      </c>
      <c r="H12" s="7"/>
      <c r="I12" s="7"/>
      <c r="J12" s="11">
        <f t="shared" si="2"/>
        <v>0</v>
      </c>
      <c r="K12" s="11">
        <f t="shared" si="3"/>
        <v>0</v>
      </c>
      <c r="L12" s="7"/>
      <c r="M12" s="7"/>
      <c r="N12" s="11">
        <f t="shared" si="4"/>
        <v>0</v>
      </c>
      <c r="O12" s="11">
        <f t="shared" si="5"/>
        <v>0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20"/>
      <c r="AG12" s="20"/>
      <c r="AH12" s="11" t="e">
        <f t="shared" si="14"/>
        <v>#DIV/0!</v>
      </c>
      <c r="AI12" s="11" t="e">
        <f t="shared" si="15"/>
        <v>#DIV/0!</v>
      </c>
      <c r="AJ12" s="20"/>
      <c r="AK12" s="7"/>
      <c r="AL12" s="11" t="e">
        <f t="shared" si="16"/>
        <v>#DIV/0!</v>
      </c>
      <c r="AM12" s="11" t="e">
        <f t="shared" si="17"/>
        <v>#DIV/0!</v>
      </c>
      <c r="AN12" s="7"/>
      <c r="AO12" s="7"/>
      <c r="AP12" s="11" t="e">
        <f t="shared" si="18"/>
        <v>#DIV/0!</v>
      </c>
      <c r="AQ12" s="11" t="e">
        <f t="shared" si="19"/>
        <v>#DIV/0!</v>
      </c>
      <c r="AR12" s="7"/>
      <c r="AS12" s="7"/>
      <c r="AT12" s="11" t="e">
        <f t="shared" si="20"/>
        <v>#DIV/0!</v>
      </c>
      <c r="AU12" s="11" t="e">
        <f t="shared" si="21"/>
        <v>#DIV/0!</v>
      </c>
      <c r="AV12" s="20"/>
      <c r="AW12" s="20"/>
      <c r="AX12" s="11" t="e">
        <f t="shared" si="22"/>
        <v>#DIV/0!</v>
      </c>
      <c r="AY12" s="11" t="e">
        <f t="shared" si="23"/>
        <v>#DIV/0!</v>
      </c>
      <c r="AZ12" s="19">
        <f t="shared" si="24"/>
        <v>0</v>
      </c>
      <c r="BA12" s="11" t="e">
        <f t="shared" si="25"/>
        <v>#DIV/0!</v>
      </c>
      <c r="BB12" s="11" t="e">
        <f t="shared" si="26"/>
        <v>#DIV/0!</v>
      </c>
      <c r="BC12" s="63">
        <f t="shared" si="27"/>
        <v>0</v>
      </c>
      <c r="BD12" s="63">
        <f t="shared" si="28"/>
        <v>0</v>
      </c>
      <c r="BE12" s="63">
        <f t="shared" si="29"/>
        <v>0</v>
      </c>
      <c r="BF12" s="63">
        <f t="shared" si="30"/>
        <v>0</v>
      </c>
    </row>
    <row r="13" spans="2:58" x14ac:dyDescent="0.35">
      <c r="B13" s="3">
        <f t="shared" si="31"/>
        <v>7</v>
      </c>
      <c r="C13" s="3" t="s">
        <v>39</v>
      </c>
      <c r="D13" s="7"/>
      <c r="E13" s="7"/>
      <c r="F13" s="11">
        <f t="shared" si="0"/>
        <v>0</v>
      </c>
      <c r="G13" s="11">
        <f t="shared" si="1"/>
        <v>0</v>
      </c>
      <c r="H13" s="7"/>
      <c r="I13" s="7"/>
      <c r="J13" s="11">
        <f t="shared" si="2"/>
        <v>0</v>
      </c>
      <c r="K13" s="11">
        <f t="shared" si="3"/>
        <v>0</v>
      </c>
      <c r="L13" s="7"/>
      <c r="M13" s="7"/>
      <c r="N13" s="11">
        <f t="shared" si="4"/>
        <v>0</v>
      </c>
      <c r="O13" s="11">
        <f t="shared" si="5"/>
        <v>0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20"/>
      <c r="AG13" s="20"/>
      <c r="AH13" s="11" t="e">
        <f t="shared" si="14"/>
        <v>#DIV/0!</v>
      </c>
      <c r="AI13" s="11" t="e">
        <f t="shared" si="15"/>
        <v>#DIV/0!</v>
      </c>
      <c r="AJ13" s="20"/>
      <c r="AK13" s="7"/>
      <c r="AL13" s="11" t="e">
        <f t="shared" si="16"/>
        <v>#DIV/0!</v>
      </c>
      <c r="AM13" s="11" t="e">
        <f t="shared" si="17"/>
        <v>#DIV/0!</v>
      </c>
      <c r="AN13" s="7"/>
      <c r="AO13" s="7"/>
      <c r="AP13" s="11" t="e">
        <f t="shared" si="18"/>
        <v>#DIV/0!</v>
      </c>
      <c r="AQ13" s="11" t="e">
        <f t="shared" si="19"/>
        <v>#DIV/0!</v>
      </c>
      <c r="AR13" s="7"/>
      <c r="AS13" s="7"/>
      <c r="AT13" s="11" t="e">
        <f t="shared" si="20"/>
        <v>#DIV/0!</v>
      </c>
      <c r="AU13" s="11" t="e">
        <f t="shared" si="21"/>
        <v>#DIV/0!</v>
      </c>
      <c r="AV13" s="20"/>
      <c r="AW13" s="20"/>
      <c r="AX13" s="11" t="e">
        <f t="shared" si="22"/>
        <v>#DIV/0!</v>
      </c>
      <c r="AY13" s="11" t="e">
        <f t="shared" si="23"/>
        <v>#DIV/0!</v>
      </c>
      <c r="AZ13" s="19"/>
      <c r="BA13" s="11" t="e">
        <f t="shared" si="25"/>
        <v>#DIV/0!</v>
      </c>
      <c r="BB13" s="11" t="e">
        <f t="shared" si="26"/>
        <v>#DIV/0!</v>
      </c>
      <c r="BC13" s="63">
        <f t="shared" si="27"/>
        <v>0</v>
      </c>
      <c r="BD13" s="63">
        <f t="shared" si="28"/>
        <v>0</v>
      </c>
      <c r="BE13" s="63">
        <f t="shared" si="29"/>
        <v>0</v>
      </c>
      <c r="BF13" s="63">
        <f t="shared" si="30"/>
        <v>0</v>
      </c>
    </row>
    <row r="14" spans="2:58" x14ac:dyDescent="0.35">
      <c r="B14" s="3">
        <f t="shared" si="31"/>
        <v>8</v>
      </c>
      <c r="C14" s="3" t="s">
        <v>21</v>
      </c>
      <c r="D14" s="7"/>
      <c r="E14" s="7"/>
      <c r="F14" s="11">
        <f t="shared" ref="F14:F22" si="32">D14/$D$24</f>
        <v>0</v>
      </c>
      <c r="G14" s="11">
        <f t="shared" ref="G14:G22" si="33">E14/$E$24</f>
        <v>0</v>
      </c>
      <c r="H14" s="7"/>
      <c r="I14" s="7"/>
      <c r="J14" s="11">
        <f t="shared" ref="J14:J22" si="34">H14/$H$24</f>
        <v>0</v>
      </c>
      <c r="K14" s="11">
        <f t="shared" ref="K14:K22" si="35">I14/$I$24</f>
        <v>0</v>
      </c>
      <c r="L14" s="7"/>
      <c r="M14" s="7"/>
      <c r="N14" s="11">
        <f t="shared" ref="N14:N22" si="36">L14/$L$24</f>
        <v>0</v>
      </c>
      <c r="O14" s="11">
        <f t="shared" ref="O14:O22" si="37">M14/$M$24</f>
        <v>0</v>
      </c>
      <c r="P14" s="7"/>
      <c r="Q14" s="7"/>
      <c r="R14" s="11" t="e">
        <f t="shared" ref="R14:R22" si="38">P14/$P$24</f>
        <v>#DIV/0!</v>
      </c>
      <c r="S14" s="11" t="e">
        <f t="shared" ref="S14:S22" si="39">Q14/$Q$24</f>
        <v>#DIV/0!</v>
      </c>
      <c r="T14" s="7"/>
      <c r="U14" s="7"/>
      <c r="V14" s="11" t="e">
        <f t="shared" ref="V14:V22" si="40">T14/$T$24</f>
        <v>#DIV/0!</v>
      </c>
      <c r="W14" s="11" t="e">
        <f t="shared" ref="W14:W22" si="41">U14/$U$24</f>
        <v>#DIV/0!</v>
      </c>
      <c r="X14" s="7"/>
      <c r="Y14" s="7"/>
      <c r="Z14" s="11" t="e">
        <f t="shared" ref="Z14:Z22" si="42">X14/$X$24</f>
        <v>#DIV/0!</v>
      </c>
      <c r="AA14" s="11" t="e">
        <f t="shared" ref="AA14:AA22" si="43">Y14/$Y$24</f>
        <v>#DIV/0!</v>
      </c>
      <c r="AB14" s="7"/>
      <c r="AC14" s="7"/>
      <c r="AD14" s="11" t="e">
        <f t="shared" ref="AD14:AD22" si="44">AB14/$AB$24</f>
        <v>#DIV/0!</v>
      </c>
      <c r="AE14" s="11" t="e">
        <f t="shared" ref="AE14:AE22" si="45">AC14/$AC$24</f>
        <v>#DIV/0!</v>
      </c>
      <c r="AF14" s="20"/>
      <c r="AG14" s="20"/>
      <c r="AH14" s="11" t="e">
        <f t="shared" ref="AH14:AH22" si="46">AF14/$AF$24</f>
        <v>#DIV/0!</v>
      </c>
      <c r="AI14" s="11" t="e">
        <f t="shared" ref="AI14:AI22" si="47">AG14/$AG$24</f>
        <v>#DIV/0!</v>
      </c>
      <c r="AJ14" s="20"/>
      <c r="AK14" s="7"/>
      <c r="AL14" s="11" t="e">
        <f t="shared" ref="AL14:AL22" si="48">AJ14/$AJ$24</f>
        <v>#DIV/0!</v>
      </c>
      <c r="AM14" s="11" t="e">
        <f t="shared" ref="AM14:AM22" si="49">AK14/$AK$24</f>
        <v>#DIV/0!</v>
      </c>
      <c r="AN14" s="7"/>
      <c r="AO14" s="7"/>
      <c r="AP14" s="11" t="e">
        <f t="shared" ref="AP14:AP22" si="50">AN14/$AN$24</f>
        <v>#DIV/0!</v>
      </c>
      <c r="AQ14" s="11" t="e">
        <f t="shared" ref="AQ14:AQ22" si="51">AO14/$AO$24</f>
        <v>#DIV/0!</v>
      </c>
      <c r="AR14" s="7"/>
      <c r="AS14" s="7"/>
      <c r="AT14" s="11" t="e">
        <f t="shared" ref="AT14:AT22" si="52">AR14/$AR$24</f>
        <v>#DIV/0!</v>
      </c>
      <c r="AU14" s="11" t="e">
        <f t="shared" ref="AU14:AU22" si="53">AS14/$AS$24</f>
        <v>#DIV/0!</v>
      </c>
      <c r="AV14" s="20"/>
      <c r="AW14" s="20"/>
      <c r="AX14" s="11" t="e">
        <f t="shared" ref="AX14:AX22" si="54">AV14/$AJ$24</f>
        <v>#DIV/0!</v>
      </c>
      <c r="AY14" s="11" t="e">
        <f t="shared" ref="AY14:AY22" si="55">AW14/$AK$24</f>
        <v>#DIV/0!</v>
      </c>
      <c r="AZ14" s="19">
        <f t="shared" ref="AZ14:AZ22" si="56">E14+I14+M14+Q14+U14+Y14+AC14+AG14+AK14+AO14+AS14+AW14</f>
        <v>0</v>
      </c>
      <c r="BA14" s="11" t="e">
        <f t="shared" si="25"/>
        <v>#DIV/0!</v>
      </c>
      <c r="BB14" s="11" t="e">
        <f t="shared" si="26"/>
        <v>#DIV/0!</v>
      </c>
      <c r="BC14" s="63">
        <f t="shared" si="27"/>
        <v>0</v>
      </c>
      <c r="BD14" s="63">
        <f t="shared" si="28"/>
        <v>0</v>
      </c>
      <c r="BE14" s="63">
        <f t="shared" si="29"/>
        <v>0</v>
      </c>
      <c r="BF14" s="63">
        <f t="shared" si="30"/>
        <v>0</v>
      </c>
    </row>
    <row r="15" spans="2:58" x14ac:dyDescent="0.35">
      <c r="B15" s="3">
        <f t="shared" si="31"/>
        <v>9</v>
      </c>
      <c r="C15" s="3" t="s">
        <v>22</v>
      </c>
      <c r="D15" s="7"/>
      <c r="E15" s="7"/>
      <c r="F15" s="11">
        <f t="shared" si="32"/>
        <v>0</v>
      </c>
      <c r="G15" s="11">
        <f t="shared" si="33"/>
        <v>0</v>
      </c>
      <c r="H15" s="7"/>
      <c r="I15" s="7"/>
      <c r="J15" s="11">
        <f t="shared" si="34"/>
        <v>0</v>
      </c>
      <c r="K15" s="11">
        <f t="shared" si="35"/>
        <v>0</v>
      </c>
      <c r="L15" s="7"/>
      <c r="M15" s="7"/>
      <c r="N15" s="11">
        <f t="shared" si="36"/>
        <v>0</v>
      </c>
      <c r="O15" s="11">
        <f t="shared" si="37"/>
        <v>0</v>
      </c>
      <c r="P15" s="7"/>
      <c r="Q15" s="7"/>
      <c r="R15" s="11" t="e">
        <f t="shared" si="38"/>
        <v>#DIV/0!</v>
      </c>
      <c r="S15" s="11" t="e">
        <f t="shared" si="39"/>
        <v>#DIV/0!</v>
      </c>
      <c r="T15" s="7"/>
      <c r="U15" s="7"/>
      <c r="V15" s="11" t="e">
        <f t="shared" si="40"/>
        <v>#DIV/0!</v>
      </c>
      <c r="W15" s="11" t="e">
        <f t="shared" si="41"/>
        <v>#DIV/0!</v>
      </c>
      <c r="X15" s="7"/>
      <c r="Y15" s="7"/>
      <c r="Z15" s="11" t="e">
        <f t="shared" si="42"/>
        <v>#DIV/0!</v>
      </c>
      <c r="AA15" s="11" t="e">
        <f t="shared" si="43"/>
        <v>#DIV/0!</v>
      </c>
      <c r="AB15" s="7"/>
      <c r="AC15" s="7"/>
      <c r="AD15" s="11" t="e">
        <f t="shared" si="44"/>
        <v>#DIV/0!</v>
      </c>
      <c r="AE15" s="11" t="e">
        <f t="shared" si="45"/>
        <v>#DIV/0!</v>
      </c>
      <c r="AF15" s="20"/>
      <c r="AG15" s="20"/>
      <c r="AH15" s="11" t="e">
        <f t="shared" si="46"/>
        <v>#DIV/0!</v>
      </c>
      <c r="AI15" s="11" t="e">
        <f t="shared" si="47"/>
        <v>#DIV/0!</v>
      </c>
      <c r="AJ15" s="20"/>
      <c r="AK15" s="7"/>
      <c r="AL15" s="11" t="e">
        <f t="shared" si="48"/>
        <v>#DIV/0!</v>
      </c>
      <c r="AM15" s="11" t="e">
        <f t="shared" si="49"/>
        <v>#DIV/0!</v>
      </c>
      <c r="AN15" s="7"/>
      <c r="AO15" s="7"/>
      <c r="AP15" s="11" t="e">
        <f t="shared" si="50"/>
        <v>#DIV/0!</v>
      </c>
      <c r="AQ15" s="11" t="e">
        <f t="shared" si="51"/>
        <v>#DIV/0!</v>
      </c>
      <c r="AR15" s="7"/>
      <c r="AS15" s="7"/>
      <c r="AT15" s="11" t="e">
        <f t="shared" si="52"/>
        <v>#DIV/0!</v>
      </c>
      <c r="AU15" s="11" t="e">
        <f t="shared" si="53"/>
        <v>#DIV/0!</v>
      </c>
      <c r="AV15" s="20"/>
      <c r="AW15" s="20"/>
      <c r="AX15" s="11" t="e">
        <f t="shared" si="54"/>
        <v>#DIV/0!</v>
      </c>
      <c r="AY15" s="11" t="e">
        <f t="shared" si="55"/>
        <v>#DIV/0!</v>
      </c>
      <c r="AZ15" s="19">
        <f t="shared" si="56"/>
        <v>0</v>
      </c>
      <c r="BA15" s="11" t="e">
        <f t="shared" si="25"/>
        <v>#DIV/0!</v>
      </c>
      <c r="BB15" s="11" t="e">
        <f t="shared" si="26"/>
        <v>#DIV/0!</v>
      </c>
      <c r="BC15" s="63">
        <f t="shared" si="27"/>
        <v>0</v>
      </c>
      <c r="BD15" s="63">
        <f t="shared" si="28"/>
        <v>0</v>
      </c>
      <c r="BE15" s="63">
        <f t="shared" si="29"/>
        <v>0</v>
      </c>
      <c r="BF15" s="63">
        <f t="shared" si="30"/>
        <v>0</v>
      </c>
    </row>
    <row r="16" spans="2:58" x14ac:dyDescent="0.35">
      <c r="B16" s="3">
        <f t="shared" si="31"/>
        <v>10</v>
      </c>
      <c r="C16" s="3" t="s">
        <v>29</v>
      </c>
      <c r="D16" s="7"/>
      <c r="E16" s="7"/>
      <c r="F16" s="11">
        <f t="shared" si="32"/>
        <v>0</v>
      </c>
      <c r="G16" s="11">
        <f t="shared" si="33"/>
        <v>0</v>
      </c>
      <c r="H16" s="7"/>
      <c r="I16" s="7"/>
      <c r="J16" s="11">
        <f t="shared" si="34"/>
        <v>0</v>
      </c>
      <c r="K16" s="11">
        <f t="shared" si="35"/>
        <v>0</v>
      </c>
      <c r="L16" s="7"/>
      <c r="M16" s="7"/>
      <c r="N16" s="11">
        <f t="shared" si="36"/>
        <v>0</v>
      </c>
      <c r="O16" s="11">
        <f t="shared" si="37"/>
        <v>0</v>
      </c>
      <c r="P16" s="7"/>
      <c r="Q16" s="7"/>
      <c r="R16" s="11" t="e">
        <f t="shared" si="38"/>
        <v>#DIV/0!</v>
      </c>
      <c r="S16" s="11" t="e">
        <f t="shared" si="39"/>
        <v>#DIV/0!</v>
      </c>
      <c r="T16" s="7"/>
      <c r="U16" s="7"/>
      <c r="V16" s="11" t="e">
        <f t="shared" si="40"/>
        <v>#DIV/0!</v>
      </c>
      <c r="W16" s="11" t="e">
        <f t="shared" si="41"/>
        <v>#DIV/0!</v>
      </c>
      <c r="X16" s="7"/>
      <c r="Y16" s="7"/>
      <c r="Z16" s="11" t="e">
        <f t="shared" si="42"/>
        <v>#DIV/0!</v>
      </c>
      <c r="AA16" s="11" t="e">
        <f t="shared" si="43"/>
        <v>#DIV/0!</v>
      </c>
      <c r="AB16" s="7"/>
      <c r="AC16" s="7"/>
      <c r="AD16" s="11" t="e">
        <f t="shared" si="44"/>
        <v>#DIV/0!</v>
      </c>
      <c r="AE16" s="11" t="e">
        <f t="shared" si="45"/>
        <v>#DIV/0!</v>
      </c>
      <c r="AF16" s="20"/>
      <c r="AG16" s="20"/>
      <c r="AH16" s="11" t="e">
        <f t="shared" si="46"/>
        <v>#DIV/0!</v>
      </c>
      <c r="AI16" s="11" t="e">
        <f t="shared" si="47"/>
        <v>#DIV/0!</v>
      </c>
      <c r="AJ16" s="20"/>
      <c r="AK16" s="7"/>
      <c r="AL16" s="11" t="e">
        <f t="shared" si="48"/>
        <v>#DIV/0!</v>
      </c>
      <c r="AM16" s="11" t="e">
        <f t="shared" si="49"/>
        <v>#DIV/0!</v>
      </c>
      <c r="AN16" s="7"/>
      <c r="AO16" s="7"/>
      <c r="AP16" s="11" t="e">
        <f t="shared" si="50"/>
        <v>#DIV/0!</v>
      </c>
      <c r="AQ16" s="11" t="e">
        <f t="shared" si="51"/>
        <v>#DIV/0!</v>
      </c>
      <c r="AR16" s="7"/>
      <c r="AS16" s="7"/>
      <c r="AT16" s="11" t="e">
        <f t="shared" si="52"/>
        <v>#DIV/0!</v>
      </c>
      <c r="AU16" s="11" t="e">
        <f t="shared" si="53"/>
        <v>#DIV/0!</v>
      </c>
      <c r="AV16" s="20"/>
      <c r="AW16" s="20"/>
      <c r="AX16" s="11" t="e">
        <f t="shared" si="54"/>
        <v>#DIV/0!</v>
      </c>
      <c r="AY16" s="11" t="e">
        <f t="shared" si="55"/>
        <v>#DIV/0!</v>
      </c>
      <c r="AZ16" s="19">
        <f t="shared" si="56"/>
        <v>0</v>
      </c>
      <c r="BA16" s="11" t="e">
        <f t="shared" si="25"/>
        <v>#DIV/0!</v>
      </c>
      <c r="BB16" s="11" t="e">
        <f t="shared" si="26"/>
        <v>#DIV/0!</v>
      </c>
      <c r="BC16" s="63">
        <f t="shared" si="27"/>
        <v>0</v>
      </c>
      <c r="BD16" s="63">
        <f t="shared" si="28"/>
        <v>0</v>
      </c>
      <c r="BE16" s="63">
        <f t="shared" si="29"/>
        <v>0</v>
      </c>
      <c r="BF16" s="63">
        <f t="shared" si="30"/>
        <v>0</v>
      </c>
    </row>
    <row r="17" spans="2:58" x14ac:dyDescent="0.35">
      <c r="B17" s="3">
        <f t="shared" si="31"/>
        <v>11</v>
      </c>
      <c r="C17" s="3" t="s">
        <v>40</v>
      </c>
      <c r="D17" s="7"/>
      <c r="E17" s="7"/>
      <c r="F17" s="11">
        <f t="shared" si="32"/>
        <v>0</v>
      </c>
      <c r="G17" s="11">
        <f t="shared" si="33"/>
        <v>0</v>
      </c>
      <c r="H17" s="7"/>
      <c r="I17" s="7"/>
      <c r="J17" s="11">
        <f t="shared" si="34"/>
        <v>0</v>
      </c>
      <c r="K17" s="11">
        <f t="shared" si="35"/>
        <v>0</v>
      </c>
      <c r="L17" s="7"/>
      <c r="M17" s="7"/>
      <c r="N17" s="11">
        <f t="shared" si="36"/>
        <v>0</v>
      </c>
      <c r="O17" s="11">
        <f t="shared" si="37"/>
        <v>0</v>
      </c>
      <c r="P17" s="7"/>
      <c r="Q17" s="7"/>
      <c r="R17" s="11" t="e">
        <f t="shared" si="38"/>
        <v>#DIV/0!</v>
      </c>
      <c r="S17" s="11" t="e">
        <f t="shared" si="39"/>
        <v>#DIV/0!</v>
      </c>
      <c r="T17" s="7"/>
      <c r="U17" s="7"/>
      <c r="V17" s="11" t="e">
        <f t="shared" si="40"/>
        <v>#DIV/0!</v>
      </c>
      <c r="W17" s="11" t="e">
        <f t="shared" si="41"/>
        <v>#DIV/0!</v>
      </c>
      <c r="X17" s="7"/>
      <c r="Y17" s="7"/>
      <c r="Z17" s="11" t="e">
        <f t="shared" si="42"/>
        <v>#DIV/0!</v>
      </c>
      <c r="AA17" s="11" t="e">
        <f t="shared" si="43"/>
        <v>#DIV/0!</v>
      </c>
      <c r="AB17" s="7"/>
      <c r="AC17" s="20"/>
      <c r="AD17" s="11" t="e">
        <f t="shared" si="44"/>
        <v>#DIV/0!</v>
      </c>
      <c r="AE17" s="11" t="e">
        <f t="shared" si="45"/>
        <v>#DIV/0!</v>
      </c>
      <c r="AF17" s="20"/>
      <c r="AG17" s="20"/>
      <c r="AH17" s="11" t="e">
        <f t="shared" si="46"/>
        <v>#DIV/0!</v>
      </c>
      <c r="AI17" s="11" t="e">
        <f t="shared" si="47"/>
        <v>#DIV/0!</v>
      </c>
      <c r="AJ17" s="20"/>
      <c r="AK17" s="7"/>
      <c r="AL17" s="11" t="e">
        <f t="shared" si="48"/>
        <v>#DIV/0!</v>
      </c>
      <c r="AM17" s="11" t="e">
        <f t="shared" si="49"/>
        <v>#DIV/0!</v>
      </c>
      <c r="AN17" s="7"/>
      <c r="AO17" s="7"/>
      <c r="AP17" s="11" t="e">
        <f t="shared" si="50"/>
        <v>#DIV/0!</v>
      </c>
      <c r="AQ17" s="11" t="e">
        <f t="shared" si="51"/>
        <v>#DIV/0!</v>
      </c>
      <c r="AR17" s="7"/>
      <c r="AS17" s="7"/>
      <c r="AT17" s="11" t="e">
        <f t="shared" si="52"/>
        <v>#DIV/0!</v>
      </c>
      <c r="AU17" s="11" t="e">
        <f t="shared" si="53"/>
        <v>#DIV/0!</v>
      </c>
      <c r="AV17" s="20"/>
      <c r="AW17" s="20"/>
      <c r="AX17" s="11" t="e">
        <f t="shared" si="54"/>
        <v>#DIV/0!</v>
      </c>
      <c r="AY17" s="11" t="e">
        <f t="shared" si="55"/>
        <v>#DIV/0!</v>
      </c>
      <c r="AZ17" s="19">
        <f t="shared" si="56"/>
        <v>0</v>
      </c>
      <c r="BA17" s="11" t="e">
        <f t="shared" si="25"/>
        <v>#DIV/0!</v>
      </c>
      <c r="BB17" s="11" t="e">
        <f t="shared" si="26"/>
        <v>#DIV/0!</v>
      </c>
      <c r="BC17" s="63">
        <f t="shared" si="27"/>
        <v>0</v>
      </c>
      <c r="BD17" s="63">
        <f t="shared" si="28"/>
        <v>0</v>
      </c>
      <c r="BE17" s="63">
        <f t="shared" si="29"/>
        <v>0</v>
      </c>
      <c r="BF17" s="63">
        <f t="shared" si="30"/>
        <v>0</v>
      </c>
    </row>
    <row r="18" spans="2:58" x14ac:dyDescent="0.35">
      <c r="B18" s="3">
        <f t="shared" si="31"/>
        <v>12</v>
      </c>
      <c r="C18" s="3" t="s">
        <v>41</v>
      </c>
      <c r="D18" s="7"/>
      <c r="E18" s="7"/>
      <c r="F18" s="11">
        <f t="shared" si="32"/>
        <v>0</v>
      </c>
      <c r="G18" s="11">
        <f t="shared" si="33"/>
        <v>0</v>
      </c>
      <c r="H18" s="7"/>
      <c r="I18" s="7"/>
      <c r="J18" s="11">
        <f t="shared" si="34"/>
        <v>0</v>
      </c>
      <c r="K18" s="11">
        <f t="shared" si="35"/>
        <v>0</v>
      </c>
      <c r="L18" s="7"/>
      <c r="M18" s="7"/>
      <c r="N18" s="11">
        <f t="shared" si="36"/>
        <v>0</v>
      </c>
      <c r="O18" s="11">
        <f t="shared" si="37"/>
        <v>0</v>
      </c>
      <c r="P18" s="7"/>
      <c r="Q18" s="7"/>
      <c r="R18" s="11" t="e">
        <f t="shared" si="38"/>
        <v>#DIV/0!</v>
      </c>
      <c r="S18" s="11" t="e">
        <f t="shared" si="39"/>
        <v>#DIV/0!</v>
      </c>
      <c r="T18" s="7"/>
      <c r="U18" s="7"/>
      <c r="V18" s="11" t="e">
        <f t="shared" si="40"/>
        <v>#DIV/0!</v>
      </c>
      <c r="W18" s="11" t="e">
        <f t="shared" si="41"/>
        <v>#DIV/0!</v>
      </c>
      <c r="X18" s="7"/>
      <c r="Y18" s="7"/>
      <c r="Z18" s="11" t="e">
        <f t="shared" si="42"/>
        <v>#DIV/0!</v>
      </c>
      <c r="AA18" s="11" t="e">
        <f t="shared" si="43"/>
        <v>#DIV/0!</v>
      </c>
      <c r="AB18" s="7"/>
      <c r="AC18" s="7"/>
      <c r="AD18" s="11" t="e">
        <f t="shared" si="44"/>
        <v>#DIV/0!</v>
      </c>
      <c r="AE18" s="11" t="e">
        <f t="shared" si="45"/>
        <v>#DIV/0!</v>
      </c>
      <c r="AF18" s="20"/>
      <c r="AG18" s="20"/>
      <c r="AH18" s="11" t="e">
        <f t="shared" si="46"/>
        <v>#DIV/0!</v>
      </c>
      <c r="AI18" s="11" t="e">
        <f t="shared" si="47"/>
        <v>#DIV/0!</v>
      </c>
      <c r="AJ18" s="20"/>
      <c r="AK18" s="7"/>
      <c r="AL18" s="11" t="e">
        <f t="shared" si="48"/>
        <v>#DIV/0!</v>
      </c>
      <c r="AM18" s="11" t="e">
        <f t="shared" si="49"/>
        <v>#DIV/0!</v>
      </c>
      <c r="AN18" s="7"/>
      <c r="AO18" s="7"/>
      <c r="AP18" s="11" t="e">
        <f t="shared" si="50"/>
        <v>#DIV/0!</v>
      </c>
      <c r="AQ18" s="11" t="e">
        <f t="shared" si="51"/>
        <v>#DIV/0!</v>
      </c>
      <c r="AR18" s="7"/>
      <c r="AS18" s="7"/>
      <c r="AT18" s="11" t="e">
        <f t="shared" si="52"/>
        <v>#DIV/0!</v>
      </c>
      <c r="AU18" s="11" t="e">
        <f t="shared" si="53"/>
        <v>#DIV/0!</v>
      </c>
      <c r="AV18" s="20"/>
      <c r="AW18" s="20"/>
      <c r="AX18" s="11" t="e">
        <f t="shared" si="54"/>
        <v>#DIV/0!</v>
      </c>
      <c r="AY18" s="11" t="e">
        <f t="shared" si="55"/>
        <v>#DIV/0!</v>
      </c>
      <c r="AZ18" s="19">
        <f t="shared" si="56"/>
        <v>0</v>
      </c>
      <c r="BA18" s="11" t="e">
        <f t="shared" si="25"/>
        <v>#DIV/0!</v>
      </c>
      <c r="BB18" s="11" t="e">
        <f t="shared" si="26"/>
        <v>#DIV/0!</v>
      </c>
      <c r="BC18" s="63">
        <f t="shared" si="27"/>
        <v>0</v>
      </c>
      <c r="BD18" s="63">
        <f t="shared" si="28"/>
        <v>0</v>
      </c>
      <c r="BE18" s="63">
        <f t="shared" si="29"/>
        <v>0</v>
      </c>
      <c r="BF18" s="63">
        <f t="shared" si="30"/>
        <v>0</v>
      </c>
    </row>
    <row r="19" spans="2:58" x14ac:dyDescent="0.35">
      <c r="B19" s="3">
        <f t="shared" si="31"/>
        <v>13</v>
      </c>
      <c r="C19" s="3" t="s">
        <v>23</v>
      </c>
      <c r="D19" s="7"/>
      <c r="E19" s="7"/>
      <c r="F19" s="11">
        <f t="shared" si="32"/>
        <v>0</v>
      </c>
      <c r="G19" s="11">
        <f t="shared" si="33"/>
        <v>0</v>
      </c>
      <c r="H19" s="7"/>
      <c r="I19" s="7"/>
      <c r="J19" s="11">
        <f t="shared" si="34"/>
        <v>0</v>
      </c>
      <c r="K19" s="11">
        <f t="shared" si="35"/>
        <v>0</v>
      </c>
      <c r="L19" s="7"/>
      <c r="M19" s="7"/>
      <c r="N19" s="11">
        <f t="shared" si="36"/>
        <v>0</v>
      </c>
      <c r="O19" s="11">
        <f t="shared" si="37"/>
        <v>0</v>
      </c>
      <c r="P19" s="7"/>
      <c r="Q19" s="7"/>
      <c r="R19" s="11" t="e">
        <f t="shared" si="38"/>
        <v>#DIV/0!</v>
      </c>
      <c r="S19" s="11" t="e">
        <f t="shared" si="39"/>
        <v>#DIV/0!</v>
      </c>
      <c r="T19" s="7"/>
      <c r="U19" s="7"/>
      <c r="V19" s="11" t="e">
        <f t="shared" si="40"/>
        <v>#DIV/0!</v>
      </c>
      <c r="W19" s="11" t="e">
        <f t="shared" si="41"/>
        <v>#DIV/0!</v>
      </c>
      <c r="X19" s="7"/>
      <c r="Y19" s="7"/>
      <c r="Z19" s="11" t="e">
        <f t="shared" si="42"/>
        <v>#DIV/0!</v>
      </c>
      <c r="AA19" s="11" t="e">
        <f t="shared" si="43"/>
        <v>#DIV/0!</v>
      </c>
      <c r="AB19" s="7"/>
      <c r="AC19" s="7"/>
      <c r="AD19" s="11" t="e">
        <f t="shared" si="44"/>
        <v>#DIV/0!</v>
      </c>
      <c r="AE19" s="11" t="e">
        <f t="shared" si="45"/>
        <v>#DIV/0!</v>
      </c>
      <c r="AF19" s="20"/>
      <c r="AG19" s="20"/>
      <c r="AH19" s="11" t="e">
        <f t="shared" si="46"/>
        <v>#DIV/0!</v>
      </c>
      <c r="AI19" s="11" t="e">
        <f t="shared" si="47"/>
        <v>#DIV/0!</v>
      </c>
      <c r="AJ19" s="20"/>
      <c r="AK19" s="7"/>
      <c r="AL19" s="11" t="e">
        <f t="shared" si="48"/>
        <v>#DIV/0!</v>
      </c>
      <c r="AM19" s="11" t="e">
        <f t="shared" si="49"/>
        <v>#DIV/0!</v>
      </c>
      <c r="AN19" s="7"/>
      <c r="AO19" s="7"/>
      <c r="AP19" s="11" t="e">
        <f t="shared" si="50"/>
        <v>#DIV/0!</v>
      </c>
      <c r="AQ19" s="11" t="e">
        <f t="shared" si="51"/>
        <v>#DIV/0!</v>
      </c>
      <c r="AR19" s="7"/>
      <c r="AS19" s="7"/>
      <c r="AT19" s="11" t="e">
        <f t="shared" si="52"/>
        <v>#DIV/0!</v>
      </c>
      <c r="AU19" s="11" t="e">
        <f t="shared" si="53"/>
        <v>#DIV/0!</v>
      </c>
      <c r="AV19" s="20"/>
      <c r="AW19" s="20"/>
      <c r="AX19" s="11" t="e">
        <f t="shared" si="54"/>
        <v>#DIV/0!</v>
      </c>
      <c r="AY19" s="11" t="e">
        <f t="shared" si="55"/>
        <v>#DIV/0!</v>
      </c>
      <c r="AZ19" s="19">
        <f t="shared" si="56"/>
        <v>0</v>
      </c>
      <c r="BA19" s="11" t="e">
        <f t="shared" si="25"/>
        <v>#DIV/0!</v>
      </c>
      <c r="BB19" s="11" t="e">
        <f t="shared" si="26"/>
        <v>#DIV/0!</v>
      </c>
      <c r="BC19" s="63">
        <f t="shared" si="27"/>
        <v>0</v>
      </c>
      <c r="BD19" s="63">
        <f t="shared" si="28"/>
        <v>0</v>
      </c>
      <c r="BE19" s="63">
        <f t="shared" si="29"/>
        <v>0</v>
      </c>
      <c r="BF19" s="63">
        <f t="shared" si="30"/>
        <v>0</v>
      </c>
    </row>
    <row r="20" spans="2:58" x14ac:dyDescent="0.35">
      <c r="B20" s="3">
        <f t="shared" si="31"/>
        <v>14</v>
      </c>
      <c r="C20" s="3" t="s">
        <v>24</v>
      </c>
      <c r="D20" s="7"/>
      <c r="E20" s="7"/>
      <c r="F20" s="11">
        <f t="shared" si="32"/>
        <v>0</v>
      </c>
      <c r="G20" s="11">
        <f t="shared" si="33"/>
        <v>0</v>
      </c>
      <c r="H20" s="7"/>
      <c r="I20" s="7"/>
      <c r="J20" s="11">
        <f t="shared" si="34"/>
        <v>0</v>
      </c>
      <c r="K20" s="11">
        <f t="shared" si="35"/>
        <v>0</v>
      </c>
      <c r="L20" s="7"/>
      <c r="M20" s="7"/>
      <c r="N20" s="11">
        <f t="shared" si="36"/>
        <v>0</v>
      </c>
      <c r="O20" s="11">
        <f t="shared" si="37"/>
        <v>0</v>
      </c>
      <c r="P20" s="7"/>
      <c r="Q20" s="7"/>
      <c r="R20" s="11" t="e">
        <f t="shared" si="38"/>
        <v>#DIV/0!</v>
      </c>
      <c r="S20" s="11" t="e">
        <f t="shared" si="39"/>
        <v>#DIV/0!</v>
      </c>
      <c r="T20" s="7"/>
      <c r="U20" s="7"/>
      <c r="V20" s="11" t="e">
        <f t="shared" si="40"/>
        <v>#DIV/0!</v>
      </c>
      <c r="W20" s="11" t="e">
        <f t="shared" si="41"/>
        <v>#DIV/0!</v>
      </c>
      <c r="X20" s="7"/>
      <c r="Y20" s="7"/>
      <c r="Z20" s="11" t="e">
        <f t="shared" si="42"/>
        <v>#DIV/0!</v>
      </c>
      <c r="AA20" s="11" t="e">
        <f t="shared" si="43"/>
        <v>#DIV/0!</v>
      </c>
      <c r="AB20" s="7"/>
      <c r="AC20" s="7"/>
      <c r="AD20" s="11" t="e">
        <f t="shared" si="44"/>
        <v>#DIV/0!</v>
      </c>
      <c r="AE20" s="11" t="e">
        <f t="shared" si="45"/>
        <v>#DIV/0!</v>
      </c>
      <c r="AF20" s="20"/>
      <c r="AG20" s="20"/>
      <c r="AH20" s="11" t="e">
        <f t="shared" si="46"/>
        <v>#DIV/0!</v>
      </c>
      <c r="AI20" s="11" t="e">
        <f t="shared" si="47"/>
        <v>#DIV/0!</v>
      </c>
      <c r="AJ20" s="20"/>
      <c r="AK20" s="7"/>
      <c r="AL20" s="11" t="e">
        <f t="shared" si="48"/>
        <v>#DIV/0!</v>
      </c>
      <c r="AM20" s="11" t="e">
        <f t="shared" si="49"/>
        <v>#DIV/0!</v>
      </c>
      <c r="AN20" s="7"/>
      <c r="AO20" s="7"/>
      <c r="AP20" s="11" t="e">
        <f t="shared" si="50"/>
        <v>#DIV/0!</v>
      </c>
      <c r="AQ20" s="11" t="e">
        <f t="shared" si="51"/>
        <v>#DIV/0!</v>
      </c>
      <c r="AR20" s="7"/>
      <c r="AS20" s="7"/>
      <c r="AT20" s="11" t="e">
        <f t="shared" si="52"/>
        <v>#DIV/0!</v>
      </c>
      <c r="AU20" s="11" t="e">
        <f t="shared" si="53"/>
        <v>#DIV/0!</v>
      </c>
      <c r="AV20" s="20"/>
      <c r="AW20" s="20"/>
      <c r="AX20" s="11" t="e">
        <f t="shared" si="54"/>
        <v>#DIV/0!</v>
      </c>
      <c r="AY20" s="11" t="e">
        <f t="shared" si="55"/>
        <v>#DIV/0!</v>
      </c>
      <c r="AZ20" s="19">
        <f t="shared" si="56"/>
        <v>0</v>
      </c>
      <c r="BA20" s="11" t="e">
        <f t="shared" si="25"/>
        <v>#DIV/0!</v>
      </c>
      <c r="BB20" s="11" t="e">
        <f t="shared" si="26"/>
        <v>#DIV/0!</v>
      </c>
      <c r="BC20" s="63">
        <f t="shared" si="27"/>
        <v>0</v>
      </c>
      <c r="BD20" s="63">
        <f t="shared" si="28"/>
        <v>0</v>
      </c>
      <c r="BE20" s="63">
        <f t="shared" si="29"/>
        <v>0</v>
      </c>
      <c r="BF20" s="63">
        <f t="shared" si="30"/>
        <v>0</v>
      </c>
    </row>
    <row r="21" spans="2:58" x14ac:dyDescent="0.35">
      <c r="B21" s="3">
        <f t="shared" si="31"/>
        <v>15</v>
      </c>
      <c r="C21" s="3" t="s">
        <v>25</v>
      </c>
      <c r="D21" s="7"/>
      <c r="E21" s="7"/>
      <c r="F21" s="11">
        <f t="shared" si="32"/>
        <v>0</v>
      </c>
      <c r="G21" s="11">
        <f t="shared" si="33"/>
        <v>0</v>
      </c>
      <c r="H21" s="7"/>
      <c r="I21" s="7"/>
      <c r="J21" s="11">
        <f t="shared" si="34"/>
        <v>0</v>
      </c>
      <c r="K21" s="11">
        <f t="shared" si="35"/>
        <v>0</v>
      </c>
      <c r="L21" s="7"/>
      <c r="M21" s="7"/>
      <c r="N21" s="11">
        <f t="shared" si="36"/>
        <v>0</v>
      </c>
      <c r="O21" s="11">
        <f t="shared" si="37"/>
        <v>0</v>
      </c>
      <c r="P21" s="7"/>
      <c r="Q21" s="7"/>
      <c r="R21" s="11" t="e">
        <f t="shared" si="38"/>
        <v>#DIV/0!</v>
      </c>
      <c r="S21" s="11" t="e">
        <f t="shared" si="39"/>
        <v>#DIV/0!</v>
      </c>
      <c r="T21" s="7"/>
      <c r="U21" s="7"/>
      <c r="V21" s="11" t="e">
        <f t="shared" si="40"/>
        <v>#DIV/0!</v>
      </c>
      <c r="W21" s="11" t="e">
        <f t="shared" si="41"/>
        <v>#DIV/0!</v>
      </c>
      <c r="X21" s="7"/>
      <c r="Y21" s="7"/>
      <c r="Z21" s="11" t="e">
        <f t="shared" si="42"/>
        <v>#DIV/0!</v>
      </c>
      <c r="AA21" s="11" t="e">
        <f t="shared" si="43"/>
        <v>#DIV/0!</v>
      </c>
      <c r="AB21" s="7"/>
      <c r="AC21" s="7"/>
      <c r="AD21" s="11" t="e">
        <f t="shared" si="44"/>
        <v>#DIV/0!</v>
      </c>
      <c r="AE21" s="11" t="e">
        <f t="shared" si="45"/>
        <v>#DIV/0!</v>
      </c>
      <c r="AF21" s="20"/>
      <c r="AG21" s="20"/>
      <c r="AH21" s="11" t="e">
        <f t="shared" si="46"/>
        <v>#DIV/0!</v>
      </c>
      <c r="AI21" s="11" t="e">
        <f t="shared" si="47"/>
        <v>#DIV/0!</v>
      </c>
      <c r="AJ21" s="20"/>
      <c r="AK21" s="7"/>
      <c r="AL21" s="11" t="e">
        <f t="shared" si="48"/>
        <v>#DIV/0!</v>
      </c>
      <c r="AM21" s="11" t="e">
        <f t="shared" si="49"/>
        <v>#DIV/0!</v>
      </c>
      <c r="AN21" s="7"/>
      <c r="AO21" s="7"/>
      <c r="AP21" s="11" t="e">
        <f t="shared" si="50"/>
        <v>#DIV/0!</v>
      </c>
      <c r="AQ21" s="11" t="e">
        <f t="shared" si="51"/>
        <v>#DIV/0!</v>
      </c>
      <c r="AR21" s="7"/>
      <c r="AS21" s="7"/>
      <c r="AT21" s="11" t="e">
        <f t="shared" si="52"/>
        <v>#DIV/0!</v>
      </c>
      <c r="AU21" s="11" t="e">
        <f t="shared" si="53"/>
        <v>#DIV/0!</v>
      </c>
      <c r="AV21" s="20"/>
      <c r="AW21" s="20"/>
      <c r="AX21" s="11" t="e">
        <f t="shared" si="54"/>
        <v>#DIV/0!</v>
      </c>
      <c r="AY21" s="11" t="e">
        <f t="shared" si="55"/>
        <v>#DIV/0!</v>
      </c>
      <c r="AZ21" s="19">
        <f t="shared" si="56"/>
        <v>0</v>
      </c>
      <c r="BA21" s="11" t="e">
        <f t="shared" si="25"/>
        <v>#DIV/0!</v>
      </c>
      <c r="BB21" s="11" t="e">
        <f t="shared" si="26"/>
        <v>#DIV/0!</v>
      </c>
      <c r="BC21" s="63">
        <f t="shared" si="27"/>
        <v>0</v>
      </c>
      <c r="BD21" s="63">
        <f t="shared" si="28"/>
        <v>0</v>
      </c>
      <c r="BE21" s="63">
        <f t="shared" si="29"/>
        <v>0</v>
      </c>
      <c r="BF21" s="63">
        <f t="shared" si="30"/>
        <v>0</v>
      </c>
    </row>
    <row r="22" spans="2:58" x14ac:dyDescent="0.35">
      <c r="B22" s="3">
        <f t="shared" si="31"/>
        <v>16</v>
      </c>
      <c r="C22" s="3" t="s">
        <v>26</v>
      </c>
      <c r="D22" s="7"/>
      <c r="E22" s="7"/>
      <c r="F22" s="11">
        <f t="shared" si="32"/>
        <v>0</v>
      </c>
      <c r="G22" s="11">
        <f t="shared" si="33"/>
        <v>0</v>
      </c>
      <c r="H22" s="7"/>
      <c r="I22" s="7"/>
      <c r="J22" s="11">
        <f t="shared" si="34"/>
        <v>0</v>
      </c>
      <c r="K22" s="11">
        <f t="shared" si="35"/>
        <v>0</v>
      </c>
      <c r="L22" s="7"/>
      <c r="M22" s="7"/>
      <c r="N22" s="11">
        <f t="shared" si="36"/>
        <v>0</v>
      </c>
      <c r="O22" s="11">
        <f t="shared" si="37"/>
        <v>0</v>
      </c>
      <c r="P22" s="7"/>
      <c r="Q22" s="7"/>
      <c r="R22" s="11" t="e">
        <f t="shared" si="38"/>
        <v>#DIV/0!</v>
      </c>
      <c r="S22" s="11" t="e">
        <f t="shared" si="39"/>
        <v>#DIV/0!</v>
      </c>
      <c r="T22" s="7"/>
      <c r="U22" s="7"/>
      <c r="V22" s="11" t="e">
        <f t="shared" si="40"/>
        <v>#DIV/0!</v>
      </c>
      <c r="W22" s="11" t="e">
        <f t="shared" si="41"/>
        <v>#DIV/0!</v>
      </c>
      <c r="X22" s="7"/>
      <c r="Y22" s="7"/>
      <c r="Z22" s="11" t="e">
        <f t="shared" si="42"/>
        <v>#DIV/0!</v>
      </c>
      <c r="AA22" s="11" t="e">
        <f t="shared" si="43"/>
        <v>#DIV/0!</v>
      </c>
      <c r="AB22" s="7"/>
      <c r="AC22" s="7"/>
      <c r="AD22" s="11" t="e">
        <f t="shared" si="44"/>
        <v>#DIV/0!</v>
      </c>
      <c r="AE22" s="11" t="e">
        <f t="shared" si="45"/>
        <v>#DIV/0!</v>
      </c>
      <c r="AF22" s="20"/>
      <c r="AG22" s="20"/>
      <c r="AH22" s="11" t="e">
        <f t="shared" si="46"/>
        <v>#DIV/0!</v>
      </c>
      <c r="AI22" s="11" t="e">
        <f t="shared" si="47"/>
        <v>#DIV/0!</v>
      </c>
      <c r="AJ22" s="20"/>
      <c r="AK22" s="7"/>
      <c r="AL22" s="11" t="e">
        <f t="shared" si="48"/>
        <v>#DIV/0!</v>
      </c>
      <c r="AM22" s="11" t="e">
        <f t="shared" si="49"/>
        <v>#DIV/0!</v>
      </c>
      <c r="AN22" s="7"/>
      <c r="AO22" s="7"/>
      <c r="AP22" s="11" t="e">
        <f t="shared" si="50"/>
        <v>#DIV/0!</v>
      </c>
      <c r="AQ22" s="11" t="e">
        <f t="shared" si="51"/>
        <v>#DIV/0!</v>
      </c>
      <c r="AR22" s="7"/>
      <c r="AS22" s="7"/>
      <c r="AT22" s="11" t="e">
        <f t="shared" si="52"/>
        <v>#DIV/0!</v>
      </c>
      <c r="AU22" s="11" t="e">
        <f t="shared" si="53"/>
        <v>#DIV/0!</v>
      </c>
      <c r="AV22" s="20"/>
      <c r="AW22" s="20"/>
      <c r="AX22" s="11" t="e">
        <f t="shared" si="54"/>
        <v>#DIV/0!</v>
      </c>
      <c r="AY22" s="11" t="e">
        <f t="shared" si="55"/>
        <v>#DIV/0!</v>
      </c>
      <c r="AZ22" s="19">
        <f t="shared" si="56"/>
        <v>0</v>
      </c>
      <c r="BA22" s="11" t="e">
        <f t="shared" si="25"/>
        <v>#DIV/0!</v>
      </c>
      <c r="BB22" s="11" t="e">
        <f t="shared" si="26"/>
        <v>#DIV/0!</v>
      </c>
      <c r="BC22" s="63">
        <f t="shared" si="27"/>
        <v>0</v>
      </c>
      <c r="BD22" s="63">
        <f t="shared" si="28"/>
        <v>0</v>
      </c>
      <c r="BE22" s="63">
        <f t="shared" si="29"/>
        <v>0</v>
      </c>
      <c r="BF22" s="63">
        <f t="shared" si="30"/>
        <v>0</v>
      </c>
    </row>
    <row r="23" spans="2:58" x14ac:dyDescent="0.35">
      <c r="B23" s="18"/>
      <c r="C23" s="18"/>
      <c r="D23" s="18"/>
      <c r="E23" s="17"/>
      <c r="F23" s="7"/>
      <c r="G23" s="7"/>
      <c r="H23" s="17"/>
      <c r="I23" s="17"/>
      <c r="J23" s="7"/>
      <c r="K23" s="7"/>
      <c r="L23" s="17"/>
      <c r="M23" s="17"/>
      <c r="N23" s="7"/>
      <c r="O23" s="7"/>
      <c r="P23" s="17"/>
      <c r="Q23" s="17"/>
      <c r="R23" s="7"/>
      <c r="S23" s="7"/>
      <c r="T23" s="17"/>
      <c r="U23" s="1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7"/>
      <c r="BB23" s="7"/>
      <c r="BC23" s="4"/>
      <c r="BD23" s="4"/>
      <c r="BE23" s="4"/>
      <c r="BF23" s="4"/>
    </row>
    <row r="24" spans="2:58" x14ac:dyDescent="0.35">
      <c r="B24" s="4"/>
      <c r="C24" s="4" t="s">
        <v>12</v>
      </c>
      <c r="D24" s="5">
        <f t="shared" ref="D24:AM24" si="57">SUM(D7:D23)</f>
        <v>18</v>
      </c>
      <c r="E24" s="5">
        <f t="shared" si="57"/>
        <v>205632839</v>
      </c>
      <c r="F24" s="10">
        <f t="shared" si="57"/>
        <v>1</v>
      </c>
      <c r="G24" s="10">
        <f t="shared" si="57"/>
        <v>1</v>
      </c>
      <c r="H24" s="5">
        <f t="shared" si="57"/>
        <v>16</v>
      </c>
      <c r="I24" s="5">
        <f t="shared" si="57"/>
        <v>174912899</v>
      </c>
      <c r="J24" s="10">
        <f t="shared" si="57"/>
        <v>1</v>
      </c>
      <c r="K24" s="10">
        <f t="shared" si="57"/>
        <v>1</v>
      </c>
      <c r="L24" s="5">
        <f t="shared" si="57"/>
        <v>16</v>
      </c>
      <c r="M24" s="5">
        <f t="shared" si="57"/>
        <v>170991953</v>
      </c>
      <c r="N24" s="10">
        <f t="shared" si="57"/>
        <v>1</v>
      </c>
      <c r="O24" s="10">
        <f t="shared" si="57"/>
        <v>1</v>
      </c>
      <c r="P24" s="5">
        <f t="shared" si="57"/>
        <v>0</v>
      </c>
      <c r="Q24" s="5">
        <f t="shared" si="57"/>
        <v>0</v>
      </c>
      <c r="R24" s="10" t="e">
        <f t="shared" si="57"/>
        <v>#DIV/0!</v>
      </c>
      <c r="S24" s="10" t="e">
        <f t="shared" si="57"/>
        <v>#DIV/0!</v>
      </c>
      <c r="T24" s="5">
        <f t="shared" si="57"/>
        <v>0</v>
      </c>
      <c r="U24" s="5">
        <f t="shared" si="57"/>
        <v>0</v>
      </c>
      <c r="V24" s="10" t="e">
        <f t="shared" si="57"/>
        <v>#DIV/0!</v>
      </c>
      <c r="W24" s="10" t="e">
        <f t="shared" si="57"/>
        <v>#DIV/0!</v>
      </c>
      <c r="X24" s="5">
        <f t="shared" si="57"/>
        <v>0</v>
      </c>
      <c r="Y24" s="5">
        <f t="shared" si="57"/>
        <v>0</v>
      </c>
      <c r="Z24" s="10" t="e">
        <f t="shared" si="57"/>
        <v>#DIV/0!</v>
      </c>
      <c r="AA24" s="10" t="e">
        <f t="shared" si="57"/>
        <v>#DIV/0!</v>
      </c>
      <c r="AB24" s="5">
        <f t="shared" si="57"/>
        <v>0</v>
      </c>
      <c r="AC24" s="5">
        <f t="shared" si="57"/>
        <v>0</v>
      </c>
      <c r="AD24" s="10" t="e">
        <f t="shared" si="57"/>
        <v>#DIV/0!</v>
      </c>
      <c r="AE24" s="10" t="e">
        <f t="shared" si="57"/>
        <v>#DIV/0!</v>
      </c>
      <c r="AF24" s="5">
        <f t="shared" si="57"/>
        <v>0</v>
      </c>
      <c r="AG24" s="5">
        <f t="shared" si="57"/>
        <v>0</v>
      </c>
      <c r="AH24" s="10" t="e">
        <f t="shared" si="57"/>
        <v>#DIV/0!</v>
      </c>
      <c r="AI24" s="10" t="e">
        <f t="shared" si="57"/>
        <v>#DIV/0!</v>
      </c>
      <c r="AJ24" s="5">
        <f t="shared" si="57"/>
        <v>0</v>
      </c>
      <c r="AK24" s="5">
        <f t="shared" si="57"/>
        <v>0</v>
      </c>
      <c r="AL24" s="10" t="e">
        <f t="shared" si="57"/>
        <v>#DIV/0!</v>
      </c>
      <c r="AM24" s="10" t="e">
        <f t="shared" si="57"/>
        <v>#DIV/0!</v>
      </c>
      <c r="AN24" s="5">
        <f>SUM(AN7:AN22)</f>
        <v>0</v>
      </c>
      <c r="AO24" s="5">
        <f>SUM(AO7:AO23)</f>
        <v>0</v>
      </c>
      <c r="AP24" s="10" t="e">
        <f>SUM(AP7:AP23)</f>
        <v>#DIV/0!</v>
      </c>
      <c r="AQ24" s="10" t="e">
        <f>SUM(AQ7:AQ23)</f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 t="shared" ref="AW24:BF24" si="58">SUM(AW7:AW23)</f>
        <v>0</v>
      </c>
      <c r="AX24" s="10" t="e">
        <f t="shared" si="58"/>
        <v>#DIV/0!</v>
      </c>
      <c r="AY24" s="10" t="e">
        <f t="shared" si="58"/>
        <v>#DIV/0!</v>
      </c>
      <c r="AZ24" s="5">
        <f t="shared" si="58"/>
        <v>551537691</v>
      </c>
      <c r="BA24" s="10" t="e">
        <f>SUM(BA7:BA23)</f>
        <v>#DIV/0!</v>
      </c>
      <c r="BB24" s="10" t="e">
        <f t="shared" si="58"/>
        <v>#DIV/0!</v>
      </c>
      <c r="BC24" s="5">
        <f t="shared" si="58"/>
        <v>551537691</v>
      </c>
      <c r="BD24" s="5">
        <f t="shared" si="58"/>
        <v>0</v>
      </c>
      <c r="BE24" s="5">
        <f t="shared" si="58"/>
        <v>0</v>
      </c>
      <c r="BF24" s="5">
        <f t="shared" si="58"/>
        <v>0</v>
      </c>
    </row>
    <row r="25" spans="2:58" x14ac:dyDescent="0.3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8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 t="s">
        <v>71</v>
      </c>
      <c r="AX26" s="1" t="s">
        <v>59</v>
      </c>
      <c r="AY26" s="1" t="s">
        <v>60</v>
      </c>
      <c r="AZ26" s="1">
        <f>BC10+BC16+BC17</f>
        <v>481938495</v>
      </c>
      <c r="BA26" s="1"/>
      <c r="BB26" s="1"/>
    </row>
    <row r="27" spans="2:58" x14ac:dyDescent="0.35">
      <c r="AY27" s="1" t="s">
        <v>61</v>
      </c>
      <c r="AZ27" s="8">
        <f>BC7+BC8+BC9+BC11+BC12+BC14+BC15+BC18+BC19+BC20+BC21+BC22</f>
        <v>69599196</v>
      </c>
    </row>
    <row r="29" spans="2:58" x14ac:dyDescent="0.35">
      <c r="AK29" s="31"/>
      <c r="AW29" s="1" t="s">
        <v>72</v>
      </c>
      <c r="AX29" t="s">
        <v>62</v>
      </c>
      <c r="AY29" s="1" t="s">
        <v>60</v>
      </c>
      <c r="AZ29" s="1">
        <f>BD10+BD16+BD17</f>
        <v>0</v>
      </c>
    </row>
    <row r="30" spans="2:58" x14ac:dyDescent="0.35">
      <c r="AK30" s="31"/>
      <c r="AY30" s="1" t="s">
        <v>61</v>
      </c>
      <c r="AZ30" s="8">
        <f>BD7+BD8+BD9+BD11+BD12+BD14+BD15+BD18+BD19+BD20+BD21+BD22</f>
        <v>0</v>
      </c>
    </row>
    <row r="31" spans="2:58" x14ac:dyDescent="0.35">
      <c r="AK31" s="31"/>
    </row>
    <row r="32" spans="2:58" x14ac:dyDescent="0.35">
      <c r="AK32" s="31"/>
      <c r="AW32" s="1" t="s">
        <v>73</v>
      </c>
      <c r="AX32" s="1" t="s">
        <v>59</v>
      </c>
      <c r="AY32" s="1" t="s">
        <v>60</v>
      </c>
      <c r="AZ32" s="1">
        <f>BE10+BE16+BE17</f>
        <v>0</v>
      </c>
    </row>
    <row r="33" spans="37:52" x14ac:dyDescent="0.35">
      <c r="AK33" s="31"/>
      <c r="AY33" s="1" t="s">
        <v>61</v>
      </c>
      <c r="AZ33" s="8">
        <f>BE7+BE8+BE9+BE11+BE12+BE14+BE15+BE18+BE19+BE20+BE21+BE22</f>
        <v>0</v>
      </c>
    </row>
    <row r="34" spans="37:52" x14ac:dyDescent="0.35">
      <c r="AK34" s="31"/>
    </row>
    <row r="35" spans="37:52" x14ac:dyDescent="0.35">
      <c r="AK35" s="32"/>
      <c r="AW35" s="1" t="s">
        <v>74</v>
      </c>
      <c r="AX35" t="s">
        <v>62</v>
      </c>
      <c r="AY35" s="1" t="s">
        <v>60</v>
      </c>
      <c r="AZ35" s="1">
        <f>BF10+BF16+BF17</f>
        <v>0</v>
      </c>
    </row>
    <row r="36" spans="37:52" x14ac:dyDescent="0.35">
      <c r="AY36" s="1" t="s">
        <v>61</v>
      </c>
      <c r="AZ36" s="8">
        <f>BF7+BF8+BF9+BF11+BF12+BF14+BF15+BF18+BF19+BF20+BF21+BF22</f>
        <v>0</v>
      </c>
    </row>
  </sheetData>
  <mergeCells count="13">
    <mergeCell ref="T5:U5"/>
    <mergeCell ref="D5:G5"/>
    <mergeCell ref="H5:I5"/>
    <mergeCell ref="L5:M5"/>
    <mergeCell ref="P5:Q5"/>
    <mergeCell ref="BC5:BF5"/>
    <mergeCell ref="AV5:AW5"/>
    <mergeCell ref="X5:Y5"/>
    <mergeCell ref="AB5:AC5"/>
    <mergeCell ref="AF5:AG5"/>
    <mergeCell ref="AJ5:AK5"/>
    <mergeCell ref="AN5:AO5"/>
    <mergeCell ref="AR5:AS5"/>
  </mergeCells>
  <conditionalFormatting sqref="E7:E8 E11:E23">
    <cfRule type="top10" dxfId="509" priority="141" bottom="1" rank="1"/>
    <cfRule type="top10" dxfId="508" priority="142" rank="1"/>
  </conditionalFormatting>
  <conditionalFormatting sqref="E9:E10">
    <cfRule type="top10" dxfId="507" priority="3" bottom="1" rank="1"/>
    <cfRule type="top10" dxfId="506" priority="4" rank="1"/>
  </conditionalFormatting>
  <conditionalFormatting sqref="I7:I23">
    <cfRule type="top10" dxfId="505" priority="145" bottom="1" rank="1"/>
    <cfRule type="top10" dxfId="504" priority="146" rank="1"/>
  </conditionalFormatting>
  <conditionalFormatting sqref="M7:M8 M11:M23">
    <cfRule type="top10" dxfId="503" priority="149" bottom="1" rank="1"/>
    <cfRule type="top10" dxfId="502" priority="150" rank="1"/>
  </conditionalFormatting>
  <conditionalFormatting sqref="M9:M10">
    <cfRule type="top10" dxfId="501" priority="1" bottom="1" rank="1"/>
    <cfRule type="top10" dxfId="500" priority="2" rank="1"/>
  </conditionalFormatting>
  <conditionalFormatting sqref="Q7:Q23">
    <cfRule type="top10" dxfId="499" priority="153" bottom="1" rank="1"/>
    <cfRule type="top10" dxfId="498" priority="154" rank="1"/>
  </conditionalFormatting>
  <conditionalFormatting sqref="U7:U23">
    <cfRule type="top10" dxfId="497" priority="157" bottom="1" rank="1"/>
    <cfRule type="top10" dxfId="496" priority="158" rank="1"/>
  </conditionalFormatting>
  <conditionalFormatting sqref="Y7:Y23">
    <cfRule type="top10" dxfId="495" priority="161" bottom="1" rank="1"/>
    <cfRule type="top10" dxfId="494" priority="162" rank="1"/>
  </conditionalFormatting>
  <conditionalFormatting sqref="AC7:AC10">
    <cfRule type="top10" dxfId="493" priority="9" bottom="1" rank="1"/>
    <cfRule type="top10" dxfId="492" priority="10" rank="1"/>
  </conditionalFormatting>
  <conditionalFormatting sqref="AC11:AC23">
    <cfRule type="top10" dxfId="491" priority="165" bottom="1" rank="1"/>
    <cfRule type="top10" dxfId="490" priority="166" rank="1"/>
  </conditionalFormatting>
  <conditionalFormatting sqref="AG7:AG10">
    <cfRule type="top10" dxfId="489" priority="7" bottom="1" rank="1"/>
    <cfRule type="top10" dxfId="488" priority="8" rank="1"/>
  </conditionalFormatting>
  <conditionalFormatting sqref="AG11:AG23">
    <cfRule type="top10" dxfId="487" priority="169" bottom="1" rank="1"/>
    <cfRule type="top10" dxfId="486" priority="170" rank="1"/>
  </conditionalFormatting>
  <conditionalFormatting sqref="AK7:AK23">
    <cfRule type="top10" dxfId="485" priority="173" bottom="1" rank="1"/>
    <cfRule type="top10" dxfId="484" priority="174" rank="1"/>
  </conditionalFormatting>
  <conditionalFormatting sqref="AO7:AO23">
    <cfRule type="top10" dxfId="483" priority="177" bottom="1" rank="1"/>
    <cfRule type="top10" dxfId="482" priority="178" rank="1"/>
  </conditionalFormatting>
  <conditionalFormatting sqref="AS7:AS8 AS11:AS23">
    <cfRule type="top10" dxfId="481" priority="181" bottom="1" rank="1"/>
    <cfRule type="top10" dxfId="480" priority="182" rank="1"/>
  </conditionalFormatting>
  <conditionalFormatting sqref="AS9:AS10">
    <cfRule type="top10" dxfId="479" priority="5" bottom="1" rank="1"/>
    <cfRule type="top10" dxfId="478" priority="6" rank="1"/>
  </conditionalFormatting>
  <conditionalFormatting sqref="AW7:AW23">
    <cfRule type="top10" dxfId="477" priority="187" bottom="1" rank="1"/>
    <cfRule type="top10" dxfId="476" priority="188" rank="1"/>
  </conditionalFormatting>
  <conditionalFormatting sqref="AZ7:AZ23">
    <cfRule type="top10" dxfId="475" priority="191" bottom="1" rank="1"/>
    <cfRule type="top10" dxfId="474" priority="192" rank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92D050"/>
  </sheetPr>
  <dimension ref="B1:BF25"/>
  <sheetViews>
    <sheetView zoomScale="85" zoomScaleNormal="85" workbookViewId="0">
      <pane xSplit="3" ySplit="6" topLeftCell="D10" activePane="bottomRight" state="frozen"/>
      <selection pane="topRight" activeCell="D1" sqref="D1"/>
      <selection pane="bottomLeft" activeCell="A7" sqref="A7"/>
      <selection pane="bottomRight" activeCell="M19" sqref="M19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style="46" bestFit="1" customWidth="1"/>
    <col min="9" max="9" width="14" customWidth="1"/>
    <col min="10" max="10" width="8.453125" bestFit="1" customWidth="1"/>
    <col min="11" max="11" width="12.26953125" bestFit="1" customWidth="1"/>
    <col min="12" max="12" width="7.453125" style="46" bestFit="1" customWidth="1"/>
    <col min="13" max="13" width="15.1796875" customWidth="1"/>
    <col min="14" max="14" width="12.26953125" bestFit="1" customWidth="1"/>
    <col min="15" max="15" width="8.7265625" bestFit="1" customWidth="1"/>
    <col min="16" max="16" width="7.453125" style="46" bestFit="1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7.453125" style="46" bestFit="1" customWidth="1"/>
    <col min="21" max="21" width="17.54296875" bestFit="1" customWidth="1"/>
    <col min="22" max="23" width="8.7265625" bestFit="1" customWidth="1"/>
    <col min="24" max="24" width="6.26953125" customWidth="1"/>
    <col min="25" max="25" width="15.26953125" bestFit="1" customWidth="1"/>
    <col min="26" max="26" width="13.453125" bestFit="1" customWidth="1"/>
    <col min="27" max="27" width="8.453125" bestFit="1" customWidth="1"/>
    <col min="28" max="28" width="6.26953125" customWidth="1"/>
    <col min="29" max="29" width="14.816406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5.26953125" bestFit="1" customWidth="1"/>
    <col min="38" max="39" width="8.1796875" customWidth="1"/>
    <col min="40" max="40" width="6.26953125" customWidth="1"/>
    <col min="41" max="41" width="16.81640625" bestFit="1" customWidth="1"/>
    <col min="42" max="43" width="8.1796875" customWidth="1"/>
    <col min="44" max="44" width="6.26953125" customWidth="1"/>
    <col min="45" max="45" width="15.81640625" bestFit="1" customWidth="1"/>
    <col min="46" max="47" width="8.1796875" customWidth="1"/>
    <col min="48" max="48" width="6.26953125" customWidth="1"/>
    <col min="49" max="49" width="16.453125" customWidth="1"/>
    <col min="50" max="51" width="8.1796875" customWidth="1"/>
    <col min="52" max="52" width="6.26953125" customWidth="1"/>
    <col min="53" max="53" width="15.81640625" bestFit="1" customWidth="1"/>
    <col min="54" max="54" width="8.1796875" customWidth="1"/>
    <col min="55" max="55" width="11.453125" customWidth="1"/>
    <col min="56" max="56" width="15.81640625" bestFit="1" customWidth="1"/>
    <col min="57" max="57" width="8.1796875" customWidth="1"/>
    <col min="58" max="58" width="8.26953125" customWidth="1"/>
  </cols>
  <sheetData>
    <row r="1" spans="2:58" x14ac:dyDescent="0.35">
      <c r="B1" t="s">
        <v>13</v>
      </c>
      <c r="BA1" s="8"/>
      <c r="BD1" s="8"/>
    </row>
    <row r="2" spans="2:58" x14ac:dyDescent="0.35">
      <c r="B2" t="s">
        <v>49</v>
      </c>
      <c r="BA2" s="8"/>
      <c r="BD2" s="8"/>
    </row>
    <row r="3" spans="2:58" x14ac:dyDescent="0.35">
      <c r="B3" t="s">
        <v>79</v>
      </c>
    </row>
    <row r="4" spans="2:58" s="6" customFormat="1" x14ac:dyDescent="0.35">
      <c r="D4" s="9"/>
      <c r="H4" s="47"/>
      <c r="L4" s="47"/>
      <c r="P4" s="47"/>
      <c r="T4" s="47"/>
      <c r="X4" s="9"/>
      <c r="AB4" s="9"/>
      <c r="AF4" s="9"/>
      <c r="AJ4" s="9"/>
      <c r="AN4" s="9"/>
      <c r="AR4" s="9"/>
      <c r="AV4" s="9"/>
      <c r="AZ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8" s="14" customFormat="1" ht="29" x14ac:dyDescent="0.35">
      <c r="B6" s="12"/>
      <c r="C6" s="26" t="s">
        <v>34</v>
      </c>
      <c r="D6" s="13" t="s">
        <v>14</v>
      </c>
      <c r="E6" s="13" t="s">
        <v>15</v>
      </c>
      <c r="F6" s="13" t="s">
        <v>27</v>
      </c>
      <c r="G6" s="13" t="s">
        <v>28</v>
      </c>
      <c r="H6" s="48" t="s">
        <v>14</v>
      </c>
      <c r="I6" s="13" t="s">
        <v>15</v>
      </c>
      <c r="J6" s="13" t="s">
        <v>27</v>
      </c>
      <c r="K6" s="13" t="s">
        <v>28</v>
      </c>
      <c r="L6" s="48" t="s">
        <v>14</v>
      </c>
      <c r="M6" s="13" t="s">
        <v>15</v>
      </c>
      <c r="N6" s="13" t="s">
        <v>27</v>
      </c>
      <c r="O6" s="13" t="s">
        <v>28</v>
      </c>
      <c r="P6" s="48" t="s">
        <v>14</v>
      </c>
      <c r="Q6" s="13" t="s">
        <v>15</v>
      </c>
      <c r="R6" s="13" t="s">
        <v>27</v>
      </c>
      <c r="S6" s="13" t="s">
        <v>28</v>
      </c>
      <c r="T6" s="48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14</v>
      </c>
      <c r="BA6" s="13" t="s">
        <v>15</v>
      </c>
      <c r="BB6" s="13" t="s">
        <v>27</v>
      </c>
      <c r="BC6" s="13" t="s">
        <v>28</v>
      </c>
      <c r="BD6" s="13" t="s">
        <v>32</v>
      </c>
      <c r="BE6" s="13" t="s">
        <v>27</v>
      </c>
      <c r="BF6" s="13" t="s">
        <v>28</v>
      </c>
    </row>
    <row r="7" spans="2:58" s="6" customFormat="1" x14ac:dyDescent="0.35">
      <c r="B7" s="23">
        <v>1</v>
      </c>
      <c r="C7" s="3" t="s">
        <v>31</v>
      </c>
      <c r="D7" s="7"/>
      <c r="E7" s="7"/>
      <c r="F7" s="11">
        <f t="shared" ref="F7:F22" si="0">D7/$D$24</f>
        <v>0</v>
      </c>
      <c r="G7" s="11">
        <f t="shared" ref="G7:G22" si="1">E7/$E$24</f>
        <v>0</v>
      </c>
      <c r="H7" s="52"/>
      <c r="I7" s="24"/>
      <c r="J7" s="11">
        <f t="shared" ref="J7:J22" si="2">H7/$H$24</f>
        <v>0</v>
      </c>
      <c r="K7" s="11">
        <f t="shared" ref="K7:K22" si="3">I7/$I$24</f>
        <v>0</v>
      </c>
      <c r="L7" s="49"/>
      <c r="M7" s="7"/>
      <c r="N7" s="11">
        <f t="shared" ref="N7:N22" si="4">L7/$L$24</f>
        <v>0</v>
      </c>
      <c r="O7" s="11">
        <f t="shared" ref="O7:O22" si="5">M7/$M$24</f>
        <v>0</v>
      </c>
      <c r="P7" s="49"/>
      <c r="Q7" s="7"/>
      <c r="R7" s="11" t="e">
        <f t="shared" ref="R7:R22" si="6">P7/$P$24</f>
        <v>#DIV/0!</v>
      </c>
      <c r="S7" s="11" t="e">
        <f t="shared" ref="S7:S22" si="7">Q7/$Q$24</f>
        <v>#DIV/0!</v>
      </c>
      <c r="T7" s="49"/>
      <c r="U7" s="7"/>
      <c r="V7" s="11" t="e">
        <f t="shared" ref="V7:V22" si="8">T7/$T$24</f>
        <v>#DIV/0!</v>
      </c>
      <c r="W7" s="11" t="e">
        <f t="shared" ref="W7:W22" si="9">U7/$U$24</f>
        <v>#DIV/0!</v>
      </c>
      <c r="X7" s="24">
        <v>0</v>
      </c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4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4"/>
      <c r="AL7" s="11" t="e">
        <f t="shared" ref="AL7:AL22" si="16">AJ7/$AJ$24</f>
        <v>#DIV/0!</v>
      </c>
      <c r="AM7" s="11" t="e">
        <f t="shared" ref="AM7:AM22" si="17">AK7/$AK$24</f>
        <v>#DIV/0!</v>
      </c>
      <c r="AN7" s="25"/>
      <c r="AO7" s="25"/>
      <c r="AP7" s="11" t="e">
        <f t="shared" ref="AP7:AP22" si="18">AN7/$AN$24</f>
        <v>#DIV/0!</v>
      </c>
      <c r="AQ7" s="11" t="e">
        <f t="shared" ref="AQ7:AQ22" si="19">AO7/$AO$24</f>
        <v>#DIV/0!</v>
      </c>
      <c r="AR7" s="24"/>
      <c r="AS7" s="24"/>
      <c r="AT7" s="11" t="e">
        <f t="shared" ref="AT7:AT22" si="20">AR7/$AN$24</f>
        <v>#DIV/0!</v>
      </c>
      <c r="AU7" s="11" t="e">
        <f t="shared" ref="AU7:AU22" si="21">AS7/$AO$24</f>
        <v>#DIV/0!</v>
      </c>
      <c r="AV7" s="24"/>
      <c r="AW7" s="25"/>
      <c r="AX7" s="11" t="e">
        <f t="shared" ref="AX7:AX22" si="22">AV7/$AN$24</f>
        <v>#DIV/0!</v>
      </c>
      <c r="AY7" s="11" t="e">
        <f t="shared" ref="AY7:AY22" si="23">AW7/$AO$24</f>
        <v>#DIV/0!</v>
      </c>
      <c r="AZ7" s="24"/>
      <c r="BA7" s="24"/>
      <c r="BB7" s="11" t="e">
        <f t="shared" ref="BB7:BB22" si="24">AZ7/$AN$24</f>
        <v>#DIV/0!</v>
      </c>
      <c r="BC7" s="11" t="e">
        <f t="shared" ref="BC7:BC22" si="25">BA7/$AO$24</f>
        <v>#DIV/0!</v>
      </c>
      <c r="BD7" s="19">
        <f t="shared" ref="BD7:BD22" si="26">E7+I7+M7+Q7+Y7+AC7+AG7+AK7+AO7+AS7+AW7+BA7</f>
        <v>0</v>
      </c>
      <c r="BE7" s="11" t="e">
        <f t="shared" ref="BE7:BF22" si="27">AVERAGE(F7,J7,N7,R7,Z7,AD7,AH7,AL7,AP7,AT7,AX7,BB7)</f>
        <v>#DIV/0!</v>
      </c>
      <c r="BF7" s="11" t="e">
        <f t="shared" si="27"/>
        <v>#DIV/0!</v>
      </c>
    </row>
    <row r="8" spans="2:58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49"/>
      <c r="I8" s="7"/>
      <c r="J8" s="11">
        <f t="shared" si="2"/>
        <v>0</v>
      </c>
      <c r="K8" s="11">
        <f t="shared" si="3"/>
        <v>0</v>
      </c>
      <c r="L8" s="49"/>
      <c r="M8" s="7"/>
      <c r="N8" s="11">
        <f t="shared" si="4"/>
        <v>0</v>
      </c>
      <c r="O8" s="11">
        <f t="shared" si="5"/>
        <v>0</v>
      </c>
      <c r="P8" s="49"/>
      <c r="Q8" s="7"/>
      <c r="R8" s="11" t="e">
        <f t="shared" si="6"/>
        <v>#DIV/0!</v>
      </c>
      <c r="S8" s="11" t="e">
        <f t="shared" si="7"/>
        <v>#DIV/0!</v>
      </c>
      <c r="T8" s="49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20"/>
      <c r="AC8" s="7"/>
      <c r="AD8" s="11" t="e">
        <f t="shared" si="12"/>
        <v>#DIV/0!</v>
      </c>
      <c r="AE8" s="11" t="e">
        <f t="shared" si="13"/>
        <v>#DIV/0!</v>
      </c>
      <c r="AF8" s="7"/>
      <c r="AG8" s="20"/>
      <c r="AH8" s="11" t="e">
        <f t="shared" si="14"/>
        <v>#DIV/0!</v>
      </c>
      <c r="AI8" s="11" t="e">
        <f t="shared" si="15"/>
        <v>#DIV/0!</v>
      </c>
      <c r="AJ8" s="7"/>
      <c r="AK8" s="20"/>
      <c r="AL8" s="11" t="e">
        <f t="shared" si="16"/>
        <v>#DIV/0!</v>
      </c>
      <c r="AM8" s="11" t="e">
        <f t="shared" si="17"/>
        <v>#DIV/0!</v>
      </c>
      <c r="AN8" s="7"/>
      <c r="AO8" s="20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7"/>
      <c r="AW8" s="7"/>
      <c r="AX8" s="11" t="e">
        <f t="shared" si="22"/>
        <v>#DIV/0!</v>
      </c>
      <c r="AY8" s="11" t="e">
        <f t="shared" si="23"/>
        <v>#DIV/0!</v>
      </c>
      <c r="AZ8" s="20"/>
      <c r="BA8" s="20"/>
      <c r="BB8" s="11" t="e">
        <f t="shared" si="24"/>
        <v>#DIV/0!</v>
      </c>
      <c r="BC8" s="11" t="e">
        <f t="shared" si="25"/>
        <v>#DIV/0!</v>
      </c>
      <c r="BD8" s="19">
        <f t="shared" si="26"/>
        <v>0</v>
      </c>
      <c r="BE8" s="11" t="e">
        <f t="shared" si="27"/>
        <v>#DIV/0!</v>
      </c>
      <c r="BF8" s="11" t="e">
        <f t="shared" si="27"/>
        <v>#DIV/0!</v>
      </c>
    </row>
    <row r="9" spans="2:58" x14ac:dyDescent="0.35">
      <c r="B9" s="3">
        <f t="shared" ref="B9:B22" si="28">B8+1</f>
        <v>3</v>
      </c>
      <c r="C9" s="3" t="s">
        <v>18</v>
      </c>
      <c r="D9" s="7"/>
      <c r="E9" s="7"/>
      <c r="F9" s="11">
        <f t="shared" si="0"/>
        <v>0</v>
      </c>
      <c r="G9" s="11">
        <f t="shared" si="1"/>
        <v>0</v>
      </c>
      <c r="H9" s="49"/>
      <c r="I9" s="7"/>
      <c r="J9" s="11">
        <f t="shared" si="2"/>
        <v>0</v>
      </c>
      <c r="K9" s="11">
        <f t="shared" si="3"/>
        <v>0</v>
      </c>
      <c r="L9" s="49"/>
      <c r="M9" s="7"/>
      <c r="N9" s="11">
        <f t="shared" si="4"/>
        <v>0</v>
      </c>
      <c r="O9" s="11">
        <f t="shared" si="5"/>
        <v>0</v>
      </c>
      <c r="P9" s="49"/>
      <c r="Q9" s="7"/>
      <c r="R9" s="11" t="e">
        <f t="shared" si="6"/>
        <v>#DIV/0!</v>
      </c>
      <c r="S9" s="11" t="e">
        <f t="shared" si="7"/>
        <v>#DIV/0!</v>
      </c>
      <c r="T9" s="49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7"/>
      <c r="AG9" s="20"/>
      <c r="AH9" s="11" t="e">
        <f t="shared" si="14"/>
        <v>#DIV/0!</v>
      </c>
      <c r="AI9" s="11" t="e">
        <f t="shared" si="15"/>
        <v>#DIV/0!</v>
      </c>
      <c r="AJ9" s="7"/>
      <c r="AK9" s="20"/>
      <c r="AL9" s="11" t="e">
        <f t="shared" si="16"/>
        <v>#DIV/0!</v>
      </c>
      <c r="AM9" s="11" t="e">
        <f t="shared" si="17"/>
        <v>#DIV/0!</v>
      </c>
      <c r="AN9" s="7"/>
      <c r="AO9" s="20"/>
      <c r="AP9" s="11" t="e">
        <f t="shared" si="18"/>
        <v>#DIV/0!</v>
      </c>
      <c r="AQ9" s="11" t="e">
        <f t="shared" si="19"/>
        <v>#DIV/0!</v>
      </c>
      <c r="AR9" s="7"/>
      <c r="AS9" s="20"/>
      <c r="AT9" s="11" t="e">
        <f t="shared" si="20"/>
        <v>#DIV/0!</v>
      </c>
      <c r="AU9" s="11" t="e">
        <f t="shared" si="21"/>
        <v>#DIV/0!</v>
      </c>
      <c r="AV9" s="7"/>
      <c r="AW9" s="20"/>
      <c r="AX9" s="11" t="e">
        <f t="shared" si="22"/>
        <v>#DIV/0!</v>
      </c>
      <c r="AY9" s="11" t="e">
        <f t="shared" si="23"/>
        <v>#DIV/0!</v>
      </c>
      <c r="AZ9" s="20"/>
      <c r="BA9" s="20"/>
      <c r="BB9" s="11" t="e">
        <f t="shared" si="24"/>
        <v>#DIV/0!</v>
      </c>
      <c r="BC9" s="11" t="e">
        <f t="shared" si="25"/>
        <v>#DIV/0!</v>
      </c>
      <c r="BD9" s="19">
        <f t="shared" si="26"/>
        <v>0</v>
      </c>
      <c r="BE9" s="11" t="e">
        <f t="shared" si="27"/>
        <v>#DIV/0!</v>
      </c>
      <c r="BF9" s="11" t="e">
        <f t="shared" si="27"/>
        <v>#DIV/0!</v>
      </c>
    </row>
    <row r="10" spans="2:58" x14ac:dyDescent="0.35">
      <c r="B10" s="3">
        <f t="shared" si="28"/>
        <v>4</v>
      </c>
      <c r="C10" s="3" t="s">
        <v>19</v>
      </c>
      <c r="D10" s="7"/>
      <c r="E10" s="7"/>
      <c r="F10" s="11">
        <f t="shared" si="0"/>
        <v>0</v>
      </c>
      <c r="G10" s="11">
        <f t="shared" si="1"/>
        <v>0</v>
      </c>
      <c r="H10" s="49">
        <v>5</v>
      </c>
      <c r="I10" s="7">
        <v>1350000</v>
      </c>
      <c r="J10" s="11">
        <f t="shared" si="2"/>
        <v>0.23809523809523808</v>
      </c>
      <c r="K10" s="11">
        <f t="shared" si="3"/>
        <v>0.3446515190196579</v>
      </c>
      <c r="L10" s="49">
        <v>5</v>
      </c>
      <c r="M10" s="7">
        <v>2800000</v>
      </c>
      <c r="N10" s="11">
        <f t="shared" si="4"/>
        <v>0.23809523809523808</v>
      </c>
      <c r="O10" s="11">
        <f t="shared" si="5"/>
        <v>0.24115063302041168</v>
      </c>
      <c r="P10" s="49"/>
      <c r="Q10" s="7"/>
      <c r="R10" s="11" t="e">
        <f t="shared" si="6"/>
        <v>#DIV/0!</v>
      </c>
      <c r="S10" s="11" t="e">
        <f t="shared" si="7"/>
        <v>#DIV/0!</v>
      </c>
      <c r="T10" s="49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7"/>
      <c r="AG10" s="7"/>
      <c r="AH10" s="11" t="e">
        <f t="shared" si="14"/>
        <v>#DIV/0!</v>
      </c>
      <c r="AI10" s="11" t="e">
        <f t="shared" si="15"/>
        <v>#DIV/0!</v>
      </c>
      <c r="AJ10" s="7"/>
      <c r="AK10" s="20"/>
      <c r="AL10" s="11" t="e">
        <f t="shared" si="16"/>
        <v>#DIV/0!</v>
      </c>
      <c r="AM10" s="11" t="e">
        <f t="shared" si="17"/>
        <v>#DIV/0!</v>
      </c>
      <c r="AN10" s="7"/>
      <c r="AO10" s="20"/>
      <c r="AP10" s="11" t="e">
        <f t="shared" si="18"/>
        <v>#DIV/0!</v>
      </c>
      <c r="AQ10" s="11" t="e">
        <f t="shared" si="19"/>
        <v>#DIV/0!</v>
      </c>
      <c r="AR10" s="7"/>
      <c r="AS10" s="20"/>
      <c r="AT10" s="11" t="e">
        <f t="shared" si="20"/>
        <v>#DIV/0!</v>
      </c>
      <c r="AU10" s="11" t="e">
        <f t="shared" si="21"/>
        <v>#DIV/0!</v>
      </c>
      <c r="AV10" s="7"/>
      <c r="AW10" s="20"/>
      <c r="AX10" s="11" t="e">
        <f t="shared" si="22"/>
        <v>#DIV/0!</v>
      </c>
      <c r="AY10" s="11" t="e">
        <f t="shared" si="23"/>
        <v>#DIV/0!</v>
      </c>
      <c r="AZ10" s="20"/>
      <c r="BA10" s="20"/>
      <c r="BB10" s="11" t="e">
        <f t="shared" si="24"/>
        <v>#DIV/0!</v>
      </c>
      <c r="BC10" s="11" t="e">
        <f t="shared" si="25"/>
        <v>#DIV/0!</v>
      </c>
      <c r="BD10" s="19">
        <f t="shared" si="26"/>
        <v>4150000</v>
      </c>
      <c r="BE10" s="11" t="e">
        <f t="shared" si="27"/>
        <v>#DIV/0!</v>
      </c>
      <c r="BF10" s="11" t="e">
        <f t="shared" si="27"/>
        <v>#DIV/0!</v>
      </c>
    </row>
    <row r="11" spans="2:58" x14ac:dyDescent="0.35">
      <c r="B11" s="3">
        <f t="shared" si="28"/>
        <v>5</v>
      </c>
      <c r="C11" s="3" t="s">
        <v>20</v>
      </c>
      <c r="D11" s="7"/>
      <c r="E11" s="7"/>
      <c r="F11" s="11">
        <f t="shared" si="0"/>
        <v>0</v>
      </c>
      <c r="G11" s="11">
        <f t="shared" si="1"/>
        <v>0</v>
      </c>
      <c r="H11" s="49"/>
      <c r="I11" s="7"/>
      <c r="J11" s="11">
        <f t="shared" si="2"/>
        <v>0</v>
      </c>
      <c r="K11" s="11">
        <f t="shared" si="3"/>
        <v>0</v>
      </c>
      <c r="L11" s="49"/>
      <c r="M11" s="7"/>
      <c r="N11" s="11">
        <f t="shared" si="4"/>
        <v>0</v>
      </c>
      <c r="O11" s="11">
        <f t="shared" si="5"/>
        <v>0</v>
      </c>
      <c r="P11" s="49"/>
      <c r="Q11" s="7"/>
      <c r="R11" s="11" t="e">
        <f t="shared" si="6"/>
        <v>#DIV/0!</v>
      </c>
      <c r="S11" s="11" t="e">
        <f t="shared" si="7"/>
        <v>#DIV/0!</v>
      </c>
      <c r="T11" s="49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7"/>
      <c r="AK11" s="20"/>
      <c r="AL11" s="11" t="e">
        <f t="shared" si="16"/>
        <v>#DIV/0!</v>
      </c>
      <c r="AM11" s="11" t="e">
        <f t="shared" si="17"/>
        <v>#DIV/0!</v>
      </c>
      <c r="AN11" s="7"/>
      <c r="AO11" s="20"/>
      <c r="AP11" s="11" t="e">
        <f t="shared" si="18"/>
        <v>#DIV/0!</v>
      </c>
      <c r="AQ11" s="11" t="e">
        <f t="shared" si="19"/>
        <v>#DIV/0!</v>
      </c>
      <c r="AR11" s="7"/>
      <c r="AS11" s="20"/>
      <c r="AT11" s="11" t="e">
        <f t="shared" si="20"/>
        <v>#DIV/0!</v>
      </c>
      <c r="AU11" s="11" t="e">
        <f t="shared" si="21"/>
        <v>#DIV/0!</v>
      </c>
      <c r="AV11" s="7"/>
      <c r="AW11" s="20"/>
      <c r="AX11" s="11" t="e">
        <f t="shared" si="22"/>
        <v>#DIV/0!</v>
      </c>
      <c r="AY11" s="11" t="e">
        <f t="shared" si="23"/>
        <v>#DIV/0!</v>
      </c>
      <c r="AZ11" s="20"/>
      <c r="BA11" s="20"/>
      <c r="BB11" s="11" t="e">
        <f t="shared" si="24"/>
        <v>#DIV/0!</v>
      </c>
      <c r="BC11" s="11" t="e">
        <f t="shared" si="25"/>
        <v>#DIV/0!</v>
      </c>
      <c r="BD11" s="19">
        <f t="shared" si="26"/>
        <v>0</v>
      </c>
      <c r="BE11" s="11" t="e">
        <f t="shared" si="27"/>
        <v>#DIV/0!</v>
      </c>
      <c r="BF11" s="11" t="e">
        <f t="shared" si="27"/>
        <v>#DIV/0!</v>
      </c>
    </row>
    <row r="12" spans="2:58" x14ac:dyDescent="0.35">
      <c r="B12" s="3">
        <f t="shared" si="28"/>
        <v>6</v>
      </c>
      <c r="C12" s="3" t="s">
        <v>30</v>
      </c>
      <c r="D12" s="7"/>
      <c r="E12" s="7"/>
      <c r="F12" s="11">
        <f t="shared" si="0"/>
        <v>0</v>
      </c>
      <c r="G12" s="11">
        <f t="shared" si="1"/>
        <v>0</v>
      </c>
      <c r="H12" s="49"/>
      <c r="I12" s="7"/>
      <c r="J12" s="11">
        <f t="shared" si="2"/>
        <v>0</v>
      </c>
      <c r="K12" s="11">
        <f t="shared" si="3"/>
        <v>0</v>
      </c>
      <c r="L12" s="49"/>
      <c r="M12" s="7"/>
      <c r="N12" s="11">
        <f t="shared" si="4"/>
        <v>0</v>
      </c>
      <c r="O12" s="11">
        <f t="shared" si="5"/>
        <v>0</v>
      </c>
      <c r="P12" s="49"/>
      <c r="Q12" s="7"/>
      <c r="R12" s="11" t="e">
        <f t="shared" si="6"/>
        <v>#DIV/0!</v>
      </c>
      <c r="S12" s="11" t="e">
        <f t="shared" si="7"/>
        <v>#DIV/0!</v>
      </c>
      <c r="T12" s="49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7"/>
      <c r="AG12" s="7"/>
      <c r="AH12" s="11" t="e">
        <f t="shared" si="14"/>
        <v>#DIV/0!</v>
      </c>
      <c r="AI12" s="11" t="e">
        <f t="shared" si="15"/>
        <v>#DIV/0!</v>
      </c>
      <c r="AJ12" s="7"/>
      <c r="AK12" s="20"/>
      <c r="AL12" s="11" t="e">
        <f t="shared" si="16"/>
        <v>#DIV/0!</v>
      </c>
      <c r="AM12" s="11" t="e">
        <f t="shared" si="17"/>
        <v>#DIV/0!</v>
      </c>
      <c r="AN12" s="7"/>
      <c r="AO12" s="20"/>
      <c r="AP12" s="11" t="e">
        <f t="shared" si="18"/>
        <v>#DIV/0!</v>
      </c>
      <c r="AQ12" s="11" t="e">
        <f t="shared" si="19"/>
        <v>#DIV/0!</v>
      </c>
      <c r="AR12" s="7"/>
      <c r="AS12" s="20"/>
      <c r="AT12" s="11" t="e">
        <f t="shared" si="20"/>
        <v>#DIV/0!</v>
      </c>
      <c r="AU12" s="11" t="e">
        <f t="shared" si="21"/>
        <v>#DIV/0!</v>
      </c>
      <c r="AV12" s="7"/>
      <c r="AW12" s="20"/>
      <c r="AX12" s="11" t="e">
        <f t="shared" si="22"/>
        <v>#DIV/0!</v>
      </c>
      <c r="AY12" s="11" t="e">
        <f t="shared" si="23"/>
        <v>#DIV/0!</v>
      </c>
      <c r="AZ12" s="20"/>
      <c r="BA12" s="20"/>
      <c r="BB12" s="11" t="e">
        <f t="shared" si="24"/>
        <v>#DIV/0!</v>
      </c>
      <c r="BC12" s="11" t="e">
        <f t="shared" si="25"/>
        <v>#DIV/0!</v>
      </c>
      <c r="BD12" s="19">
        <f>E12+I12+M12+Q12+Y12+AC12+AG12+AK12+AO12+AS12+AW12+BA12</f>
        <v>0</v>
      </c>
      <c r="BE12" s="11" t="e">
        <f t="shared" si="27"/>
        <v>#DIV/0!</v>
      </c>
      <c r="BF12" s="11" t="e">
        <f t="shared" si="27"/>
        <v>#DIV/0!</v>
      </c>
    </row>
    <row r="13" spans="2:58" x14ac:dyDescent="0.35">
      <c r="B13" s="3">
        <f>B12+1</f>
        <v>7</v>
      </c>
      <c r="C13" s="3" t="s">
        <v>39</v>
      </c>
      <c r="D13" s="7"/>
      <c r="E13" s="7"/>
      <c r="F13" s="11">
        <f t="shared" si="0"/>
        <v>0</v>
      </c>
      <c r="G13" s="11">
        <f t="shared" si="1"/>
        <v>0</v>
      </c>
      <c r="H13" s="49"/>
      <c r="I13" s="7"/>
      <c r="J13" s="11">
        <f t="shared" si="2"/>
        <v>0</v>
      </c>
      <c r="K13" s="11">
        <f t="shared" si="3"/>
        <v>0</v>
      </c>
      <c r="L13" s="49"/>
      <c r="M13" s="7"/>
      <c r="N13" s="11">
        <f t="shared" si="4"/>
        <v>0</v>
      </c>
      <c r="O13" s="11">
        <f t="shared" si="5"/>
        <v>0</v>
      </c>
      <c r="P13" s="49"/>
      <c r="Q13" s="7"/>
      <c r="R13" s="11" t="e">
        <f t="shared" si="6"/>
        <v>#DIV/0!</v>
      </c>
      <c r="S13" s="11" t="e">
        <f t="shared" si="7"/>
        <v>#DIV/0!</v>
      </c>
      <c r="T13" s="49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7"/>
      <c r="AG13" s="7"/>
      <c r="AH13" s="11" t="e">
        <f t="shared" si="14"/>
        <v>#DIV/0!</v>
      </c>
      <c r="AI13" s="11" t="e">
        <f t="shared" si="15"/>
        <v>#DIV/0!</v>
      </c>
      <c r="AJ13" s="7"/>
      <c r="AK13" s="20"/>
      <c r="AL13" s="11" t="e">
        <f t="shared" si="16"/>
        <v>#DIV/0!</v>
      </c>
      <c r="AM13" s="11" t="e">
        <f t="shared" si="17"/>
        <v>#DIV/0!</v>
      </c>
      <c r="AN13" s="7"/>
      <c r="AO13" s="20"/>
      <c r="AP13" s="11" t="e">
        <f t="shared" si="18"/>
        <v>#DIV/0!</v>
      </c>
      <c r="AQ13" s="11" t="e">
        <f t="shared" si="19"/>
        <v>#DIV/0!</v>
      </c>
      <c r="AR13" s="7"/>
      <c r="AS13" s="20"/>
      <c r="AT13" s="11" t="e">
        <f t="shared" si="20"/>
        <v>#DIV/0!</v>
      </c>
      <c r="AU13" s="11" t="e">
        <f t="shared" si="21"/>
        <v>#DIV/0!</v>
      </c>
      <c r="AV13" s="7"/>
      <c r="AW13" s="20"/>
      <c r="AX13" s="11" t="e">
        <f t="shared" si="22"/>
        <v>#DIV/0!</v>
      </c>
      <c r="AY13" s="11" t="e">
        <f t="shared" si="23"/>
        <v>#DIV/0!</v>
      </c>
      <c r="AZ13" s="20"/>
      <c r="BA13" s="20"/>
      <c r="BB13" s="11" t="e">
        <f t="shared" si="24"/>
        <v>#DIV/0!</v>
      </c>
      <c r="BC13" s="11" t="e">
        <f t="shared" si="25"/>
        <v>#DIV/0!</v>
      </c>
      <c r="BD13" s="19">
        <f t="shared" ref="BD13" si="29">E13+I13+M13+Q13+Y13+AC13+AG13+AK13+AO13+AS13+AW13+BA13</f>
        <v>0</v>
      </c>
      <c r="BE13" s="11" t="e">
        <f t="shared" si="27"/>
        <v>#DIV/0!</v>
      </c>
      <c r="BF13" s="11" t="e">
        <f t="shared" si="27"/>
        <v>#DIV/0!</v>
      </c>
    </row>
    <row r="14" spans="2:58" x14ac:dyDescent="0.35">
      <c r="B14" s="3">
        <f>B13+1</f>
        <v>8</v>
      </c>
      <c r="C14" s="3" t="s">
        <v>21</v>
      </c>
      <c r="D14" s="7"/>
      <c r="E14" s="7"/>
      <c r="F14" s="11">
        <f t="shared" si="0"/>
        <v>0</v>
      </c>
      <c r="G14" s="11">
        <f t="shared" si="1"/>
        <v>0</v>
      </c>
      <c r="H14" s="49"/>
      <c r="I14" s="7"/>
      <c r="J14" s="11">
        <f t="shared" si="2"/>
        <v>0</v>
      </c>
      <c r="K14" s="11">
        <f t="shared" si="3"/>
        <v>0</v>
      </c>
      <c r="L14" s="49"/>
      <c r="M14" s="7"/>
      <c r="N14" s="11">
        <f t="shared" si="4"/>
        <v>0</v>
      </c>
      <c r="O14" s="11">
        <f t="shared" si="5"/>
        <v>0</v>
      </c>
      <c r="P14" s="49"/>
      <c r="Q14" s="7"/>
      <c r="R14" s="11" t="e">
        <f t="shared" si="6"/>
        <v>#DIV/0!</v>
      </c>
      <c r="S14" s="11" t="e">
        <f t="shared" si="7"/>
        <v>#DIV/0!</v>
      </c>
      <c r="T14" s="49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7"/>
      <c r="AG14" s="7"/>
      <c r="AH14" s="11" t="e">
        <f t="shared" si="14"/>
        <v>#DIV/0!</v>
      </c>
      <c r="AI14" s="11" t="e">
        <f t="shared" si="15"/>
        <v>#DIV/0!</v>
      </c>
      <c r="AJ14" s="7"/>
      <c r="AK14" s="20"/>
      <c r="AL14" s="11" t="e">
        <f t="shared" si="16"/>
        <v>#DIV/0!</v>
      </c>
      <c r="AM14" s="11" t="e">
        <f t="shared" si="17"/>
        <v>#DIV/0!</v>
      </c>
      <c r="AN14" s="7"/>
      <c r="AO14" s="20"/>
      <c r="AP14" s="11" t="e">
        <f t="shared" si="18"/>
        <v>#DIV/0!</v>
      </c>
      <c r="AQ14" s="11" t="e">
        <f t="shared" si="19"/>
        <v>#DIV/0!</v>
      </c>
      <c r="AR14" s="7"/>
      <c r="AS14" s="20"/>
      <c r="AT14" s="11" t="e">
        <f t="shared" si="20"/>
        <v>#DIV/0!</v>
      </c>
      <c r="AU14" s="11" t="e">
        <f t="shared" si="21"/>
        <v>#DIV/0!</v>
      </c>
      <c r="AV14" s="7"/>
      <c r="AW14" s="20"/>
      <c r="AX14" s="11" t="e">
        <f t="shared" si="22"/>
        <v>#DIV/0!</v>
      </c>
      <c r="AY14" s="11" t="e">
        <f t="shared" si="23"/>
        <v>#DIV/0!</v>
      </c>
      <c r="AZ14" s="20"/>
      <c r="BA14" s="20"/>
      <c r="BB14" s="11" t="e">
        <f t="shared" si="24"/>
        <v>#DIV/0!</v>
      </c>
      <c r="BC14" s="11" t="e">
        <f t="shared" si="25"/>
        <v>#DIV/0!</v>
      </c>
      <c r="BD14" s="19">
        <f t="shared" si="26"/>
        <v>0</v>
      </c>
      <c r="BE14" s="11" t="e">
        <f t="shared" si="27"/>
        <v>#DIV/0!</v>
      </c>
      <c r="BF14" s="11" t="e">
        <f t="shared" si="27"/>
        <v>#DIV/0!</v>
      </c>
    </row>
    <row r="15" spans="2:58" x14ac:dyDescent="0.35">
      <c r="B15" s="3">
        <f t="shared" si="28"/>
        <v>9</v>
      </c>
      <c r="C15" s="3" t="s">
        <v>22</v>
      </c>
      <c r="D15" s="7"/>
      <c r="E15" s="7"/>
      <c r="F15" s="11">
        <f t="shared" si="0"/>
        <v>0</v>
      </c>
      <c r="G15" s="11">
        <f t="shared" si="1"/>
        <v>0</v>
      </c>
      <c r="H15" s="49">
        <v>1</v>
      </c>
      <c r="I15" s="7">
        <v>150000</v>
      </c>
      <c r="J15" s="11">
        <f t="shared" si="2"/>
        <v>4.7619047619047616E-2</v>
      </c>
      <c r="K15" s="11">
        <f t="shared" si="3"/>
        <v>3.8294613224406436E-2</v>
      </c>
      <c r="L15" s="49">
        <v>1</v>
      </c>
      <c r="M15" s="7">
        <v>975000</v>
      </c>
      <c r="N15" s="11">
        <f t="shared" si="4"/>
        <v>4.7619047619047616E-2</v>
      </c>
      <c r="O15" s="11">
        <f t="shared" si="5"/>
        <v>8.3972095426750493E-2</v>
      </c>
      <c r="P15" s="49"/>
      <c r="Q15" s="7"/>
      <c r="R15" s="11" t="e">
        <f t="shared" si="6"/>
        <v>#DIV/0!</v>
      </c>
      <c r="S15" s="11" t="e">
        <f t="shared" si="7"/>
        <v>#DIV/0!</v>
      </c>
      <c r="T15" s="49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7"/>
      <c r="AG15" s="7"/>
      <c r="AH15" s="11" t="e">
        <f t="shared" si="14"/>
        <v>#DIV/0!</v>
      </c>
      <c r="AI15" s="11" t="e">
        <f t="shared" si="15"/>
        <v>#DIV/0!</v>
      </c>
      <c r="AJ15" s="7"/>
      <c r="AK15" s="20"/>
      <c r="AL15" s="11" t="e">
        <f t="shared" si="16"/>
        <v>#DIV/0!</v>
      </c>
      <c r="AM15" s="11" t="e">
        <f t="shared" si="17"/>
        <v>#DIV/0!</v>
      </c>
      <c r="AN15" s="7"/>
      <c r="AO15" s="20"/>
      <c r="AP15" s="11" t="e">
        <f t="shared" si="18"/>
        <v>#DIV/0!</v>
      </c>
      <c r="AQ15" s="11" t="e">
        <f t="shared" si="19"/>
        <v>#DIV/0!</v>
      </c>
      <c r="AR15" s="7"/>
      <c r="AS15" s="20"/>
      <c r="AT15" s="11" t="e">
        <f t="shared" si="20"/>
        <v>#DIV/0!</v>
      </c>
      <c r="AU15" s="11" t="e">
        <f t="shared" si="21"/>
        <v>#DIV/0!</v>
      </c>
      <c r="AV15" s="7"/>
      <c r="AW15" s="20"/>
      <c r="AX15" s="11" t="e">
        <f t="shared" si="22"/>
        <v>#DIV/0!</v>
      </c>
      <c r="AY15" s="11" t="e">
        <f t="shared" si="23"/>
        <v>#DIV/0!</v>
      </c>
      <c r="AZ15" s="20"/>
      <c r="BA15" s="20"/>
      <c r="BB15" s="11" t="e">
        <f t="shared" si="24"/>
        <v>#DIV/0!</v>
      </c>
      <c r="BC15" s="11" t="e">
        <f t="shared" si="25"/>
        <v>#DIV/0!</v>
      </c>
      <c r="BD15" s="19">
        <f t="shared" si="26"/>
        <v>1125000</v>
      </c>
      <c r="BE15" s="11" t="e">
        <f t="shared" si="27"/>
        <v>#DIV/0!</v>
      </c>
      <c r="BF15" s="11" t="e">
        <f t="shared" si="27"/>
        <v>#DIV/0!</v>
      </c>
    </row>
    <row r="16" spans="2:58" x14ac:dyDescent="0.35">
      <c r="B16" s="3">
        <f t="shared" si="28"/>
        <v>10</v>
      </c>
      <c r="C16" s="3" t="s">
        <v>29</v>
      </c>
      <c r="D16" s="7">
        <v>5</v>
      </c>
      <c r="E16" s="7">
        <v>684000</v>
      </c>
      <c r="F16" s="11">
        <f t="shared" si="0"/>
        <v>0.27777777777777779</v>
      </c>
      <c r="G16" s="11">
        <f t="shared" si="1"/>
        <v>0.29255774165953807</v>
      </c>
      <c r="H16" s="49">
        <v>5</v>
      </c>
      <c r="I16" s="7">
        <v>525000</v>
      </c>
      <c r="J16" s="11">
        <f t="shared" si="2"/>
        <v>0.23809523809523808</v>
      </c>
      <c r="K16" s="11">
        <f t="shared" si="3"/>
        <v>0.13403114628542251</v>
      </c>
      <c r="L16" s="49">
        <v>5</v>
      </c>
      <c r="M16" s="7">
        <v>2295000</v>
      </c>
      <c r="N16" s="11">
        <f t="shared" si="4"/>
        <v>0.23809523809523808</v>
      </c>
      <c r="O16" s="11">
        <f t="shared" si="5"/>
        <v>0.19765739385065886</v>
      </c>
      <c r="P16" s="49"/>
      <c r="Q16" s="7"/>
      <c r="R16" s="11" t="e">
        <f t="shared" si="6"/>
        <v>#DIV/0!</v>
      </c>
      <c r="S16" s="11" t="e">
        <f t="shared" si="7"/>
        <v>#DIV/0!</v>
      </c>
      <c r="T16" s="49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7"/>
      <c r="AG16" s="7"/>
      <c r="AH16" s="11" t="e">
        <f t="shared" si="14"/>
        <v>#DIV/0!</v>
      </c>
      <c r="AI16" s="11" t="e">
        <f t="shared" si="15"/>
        <v>#DIV/0!</v>
      </c>
      <c r="AJ16" s="7"/>
      <c r="AK16" s="20"/>
      <c r="AL16" s="11" t="e">
        <f t="shared" si="16"/>
        <v>#DIV/0!</v>
      </c>
      <c r="AM16" s="11" t="e">
        <f t="shared" si="17"/>
        <v>#DIV/0!</v>
      </c>
      <c r="AN16" s="7"/>
      <c r="AO16" s="20"/>
      <c r="AP16" s="11" t="e">
        <f t="shared" si="18"/>
        <v>#DIV/0!</v>
      </c>
      <c r="AQ16" s="11" t="e">
        <f t="shared" si="19"/>
        <v>#DIV/0!</v>
      </c>
      <c r="AR16" s="7"/>
      <c r="AS16" s="20"/>
      <c r="AT16" s="11" t="e">
        <f t="shared" si="20"/>
        <v>#DIV/0!</v>
      </c>
      <c r="AU16" s="11" t="e">
        <f t="shared" si="21"/>
        <v>#DIV/0!</v>
      </c>
      <c r="AV16" s="7"/>
      <c r="AW16" s="20"/>
      <c r="AX16" s="11" t="e">
        <f t="shared" si="22"/>
        <v>#DIV/0!</v>
      </c>
      <c r="AY16" s="11" t="e">
        <f t="shared" si="23"/>
        <v>#DIV/0!</v>
      </c>
      <c r="AZ16" s="20"/>
      <c r="BA16" s="20"/>
      <c r="BB16" s="11" t="e">
        <f t="shared" si="24"/>
        <v>#DIV/0!</v>
      </c>
      <c r="BC16" s="11" t="e">
        <f t="shared" si="25"/>
        <v>#DIV/0!</v>
      </c>
      <c r="BD16" s="19">
        <f t="shared" si="26"/>
        <v>3504000</v>
      </c>
      <c r="BE16" s="11" t="e">
        <f t="shared" si="27"/>
        <v>#DIV/0!</v>
      </c>
      <c r="BF16" s="11" t="e">
        <f t="shared" si="27"/>
        <v>#DIV/0!</v>
      </c>
    </row>
    <row r="17" spans="2:58" x14ac:dyDescent="0.35">
      <c r="B17" s="3">
        <f t="shared" si="28"/>
        <v>11</v>
      </c>
      <c r="C17" s="3" t="s">
        <v>40</v>
      </c>
      <c r="D17" s="7">
        <f>10+1</f>
        <v>11</v>
      </c>
      <c r="E17" s="7">
        <f>1068000+250000</f>
        <v>1318000</v>
      </c>
      <c r="F17" s="11">
        <f t="shared" si="0"/>
        <v>0.61111111111111116</v>
      </c>
      <c r="G17" s="11">
        <f t="shared" si="1"/>
        <v>0.5637296834901625</v>
      </c>
      <c r="H17" s="49">
        <f>1+7</f>
        <v>8</v>
      </c>
      <c r="I17" s="7">
        <f>950000+687000</f>
        <v>1637000</v>
      </c>
      <c r="J17" s="11">
        <f t="shared" si="2"/>
        <v>0.38095238095238093</v>
      </c>
      <c r="K17" s="11">
        <f t="shared" si="3"/>
        <v>0.41792187898902222</v>
      </c>
      <c r="L17" s="49">
        <v>8</v>
      </c>
      <c r="M17" s="7">
        <f>3186000+975000</f>
        <v>4161000</v>
      </c>
      <c r="N17" s="11">
        <f t="shared" si="4"/>
        <v>0.38095238095238093</v>
      </c>
      <c r="O17" s="11">
        <f t="shared" si="5"/>
        <v>0.35836706571354748</v>
      </c>
      <c r="P17" s="49"/>
      <c r="Q17" s="7"/>
      <c r="R17" s="11" t="e">
        <f t="shared" si="6"/>
        <v>#DIV/0!</v>
      </c>
      <c r="S17" s="11" t="e">
        <f t="shared" si="7"/>
        <v>#DIV/0!</v>
      </c>
      <c r="T17" s="49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7"/>
      <c r="AD17" s="11" t="e">
        <f t="shared" si="12"/>
        <v>#DIV/0!</v>
      </c>
      <c r="AE17" s="11" t="e">
        <f t="shared" si="13"/>
        <v>#DIV/0!</v>
      </c>
      <c r="AF17" s="7"/>
      <c r="AG17" s="20"/>
      <c r="AH17" s="11" t="e">
        <f t="shared" si="14"/>
        <v>#DIV/0!</v>
      </c>
      <c r="AI17" s="11" t="e">
        <f t="shared" si="15"/>
        <v>#DIV/0!</v>
      </c>
      <c r="AJ17" s="7"/>
      <c r="AK17" s="20"/>
      <c r="AL17" s="11" t="e">
        <f t="shared" si="16"/>
        <v>#DIV/0!</v>
      </c>
      <c r="AM17" s="11" t="e">
        <f t="shared" si="17"/>
        <v>#DIV/0!</v>
      </c>
      <c r="AN17" s="7"/>
      <c r="AO17" s="20"/>
      <c r="AP17" s="11" t="e">
        <f t="shared" si="18"/>
        <v>#DIV/0!</v>
      </c>
      <c r="AQ17" s="11" t="e">
        <f t="shared" si="19"/>
        <v>#DIV/0!</v>
      </c>
      <c r="AR17" s="7"/>
      <c r="AS17" s="20"/>
      <c r="AT17" s="11" t="e">
        <f t="shared" si="20"/>
        <v>#DIV/0!</v>
      </c>
      <c r="AU17" s="11" t="e">
        <f t="shared" si="21"/>
        <v>#DIV/0!</v>
      </c>
      <c r="AV17" s="7"/>
      <c r="AW17" s="20"/>
      <c r="AX17" s="11" t="e">
        <f t="shared" si="22"/>
        <v>#DIV/0!</v>
      </c>
      <c r="AY17" s="11" t="e">
        <f t="shared" si="23"/>
        <v>#DIV/0!</v>
      </c>
      <c r="AZ17" s="20"/>
      <c r="BA17" s="20"/>
      <c r="BB17" s="11" t="e">
        <f t="shared" si="24"/>
        <v>#DIV/0!</v>
      </c>
      <c r="BC17" s="11" t="e">
        <f t="shared" si="25"/>
        <v>#DIV/0!</v>
      </c>
      <c r="BD17" s="19">
        <f t="shared" si="26"/>
        <v>7116000</v>
      </c>
      <c r="BE17" s="11" t="e">
        <f t="shared" si="27"/>
        <v>#DIV/0!</v>
      </c>
      <c r="BF17" s="11" t="e">
        <f t="shared" si="27"/>
        <v>#DIV/0!</v>
      </c>
    </row>
    <row r="18" spans="2:58" x14ac:dyDescent="0.35">
      <c r="B18" s="3">
        <f t="shared" si="28"/>
        <v>12</v>
      </c>
      <c r="C18" s="3" t="s">
        <v>41</v>
      </c>
      <c r="D18" s="7">
        <v>2</v>
      </c>
      <c r="E18" s="7">
        <v>336000</v>
      </c>
      <c r="F18" s="11">
        <f t="shared" si="0"/>
        <v>0.1111111111111111</v>
      </c>
      <c r="G18" s="11">
        <f t="shared" si="1"/>
        <v>0.1437125748502994</v>
      </c>
      <c r="H18" s="49">
        <f>1+1</f>
        <v>2</v>
      </c>
      <c r="I18" s="7">
        <f>150000+105000</f>
        <v>255000</v>
      </c>
      <c r="J18" s="11">
        <f t="shared" si="2"/>
        <v>9.5238095238095233E-2</v>
      </c>
      <c r="K18" s="11">
        <f t="shared" si="3"/>
        <v>6.5100842481490936E-2</v>
      </c>
      <c r="L18" s="49">
        <v>2</v>
      </c>
      <c r="M18" s="7">
        <f>975000+405000</f>
        <v>1380000</v>
      </c>
      <c r="N18" s="11">
        <f t="shared" si="4"/>
        <v>9.5238095238095233E-2</v>
      </c>
      <c r="O18" s="11">
        <f t="shared" si="5"/>
        <v>0.11885281198863147</v>
      </c>
      <c r="P18" s="49"/>
      <c r="Q18" s="7"/>
      <c r="R18" s="11" t="e">
        <f t="shared" si="6"/>
        <v>#DIV/0!</v>
      </c>
      <c r="S18" s="11" t="e">
        <f t="shared" si="7"/>
        <v>#DIV/0!</v>
      </c>
      <c r="T18" s="49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7"/>
      <c r="AG18" s="7"/>
      <c r="AH18" s="11" t="e">
        <f t="shared" si="14"/>
        <v>#DIV/0!</v>
      </c>
      <c r="AI18" s="11" t="e">
        <f t="shared" si="15"/>
        <v>#DIV/0!</v>
      </c>
      <c r="AJ18" s="7"/>
      <c r="AK18" s="20"/>
      <c r="AL18" s="11" t="e">
        <f t="shared" si="16"/>
        <v>#DIV/0!</v>
      </c>
      <c r="AM18" s="11" t="e">
        <f t="shared" si="17"/>
        <v>#DIV/0!</v>
      </c>
      <c r="AN18" s="7"/>
      <c r="AO18" s="20"/>
      <c r="AP18" s="11" t="e">
        <f t="shared" si="18"/>
        <v>#DIV/0!</v>
      </c>
      <c r="AQ18" s="11" t="e">
        <f t="shared" si="19"/>
        <v>#DIV/0!</v>
      </c>
      <c r="AR18" s="7"/>
      <c r="AS18" s="20"/>
      <c r="AT18" s="11" t="e">
        <f t="shared" si="20"/>
        <v>#DIV/0!</v>
      </c>
      <c r="AU18" s="11" t="e">
        <f t="shared" si="21"/>
        <v>#DIV/0!</v>
      </c>
      <c r="AV18" s="7"/>
      <c r="AW18" s="20"/>
      <c r="AX18" s="11" t="e">
        <f t="shared" si="22"/>
        <v>#DIV/0!</v>
      </c>
      <c r="AY18" s="11" t="e">
        <f t="shared" si="23"/>
        <v>#DIV/0!</v>
      </c>
      <c r="AZ18" s="20"/>
      <c r="BA18" s="20"/>
      <c r="BB18" s="11" t="e">
        <f t="shared" si="24"/>
        <v>#DIV/0!</v>
      </c>
      <c r="BC18" s="11" t="e">
        <f t="shared" si="25"/>
        <v>#DIV/0!</v>
      </c>
      <c r="BD18" s="19">
        <f t="shared" si="26"/>
        <v>1971000</v>
      </c>
      <c r="BE18" s="11" t="e">
        <f t="shared" si="27"/>
        <v>#DIV/0!</v>
      </c>
      <c r="BF18" s="11" t="e">
        <f t="shared" si="27"/>
        <v>#DIV/0!</v>
      </c>
    </row>
    <row r="19" spans="2:58" x14ac:dyDescent="0.35">
      <c r="B19" s="3">
        <f t="shared" si="28"/>
        <v>13</v>
      </c>
      <c r="C19" s="3" t="s">
        <v>23</v>
      </c>
      <c r="D19" s="7"/>
      <c r="E19" s="7"/>
      <c r="F19" s="11">
        <f t="shared" si="0"/>
        <v>0</v>
      </c>
      <c r="G19" s="11">
        <f t="shared" si="1"/>
        <v>0</v>
      </c>
      <c r="H19" s="49"/>
      <c r="I19" s="7"/>
      <c r="J19" s="11">
        <f t="shared" si="2"/>
        <v>0</v>
      </c>
      <c r="K19" s="11">
        <f t="shared" si="3"/>
        <v>0</v>
      </c>
      <c r="L19" s="49"/>
      <c r="M19" s="7"/>
      <c r="N19" s="11">
        <f t="shared" si="4"/>
        <v>0</v>
      </c>
      <c r="O19" s="11">
        <f t="shared" si="5"/>
        <v>0</v>
      </c>
      <c r="P19" s="49"/>
      <c r="Q19" s="7"/>
      <c r="R19" s="11" t="e">
        <f t="shared" si="6"/>
        <v>#DIV/0!</v>
      </c>
      <c r="S19" s="11" t="e">
        <f t="shared" si="7"/>
        <v>#DIV/0!</v>
      </c>
      <c r="T19" s="49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7"/>
      <c r="AG19" s="7"/>
      <c r="AH19" s="11" t="e">
        <f t="shared" si="14"/>
        <v>#DIV/0!</v>
      </c>
      <c r="AI19" s="11" t="e">
        <f t="shared" si="15"/>
        <v>#DIV/0!</v>
      </c>
      <c r="AJ19" s="7"/>
      <c r="AK19" s="20"/>
      <c r="AL19" s="11" t="e">
        <f t="shared" si="16"/>
        <v>#DIV/0!</v>
      </c>
      <c r="AM19" s="11" t="e">
        <f t="shared" si="17"/>
        <v>#DIV/0!</v>
      </c>
      <c r="AN19" s="7"/>
      <c r="AO19" s="20"/>
      <c r="AP19" s="11" t="e">
        <f t="shared" si="18"/>
        <v>#DIV/0!</v>
      </c>
      <c r="AQ19" s="11" t="e">
        <f t="shared" si="19"/>
        <v>#DIV/0!</v>
      </c>
      <c r="AR19" s="7"/>
      <c r="AS19" s="20"/>
      <c r="AT19" s="11" t="e">
        <f t="shared" si="20"/>
        <v>#DIV/0!</v>
      </c>
      <c r="AU19" s="11" t="e">
        <f t="shared" si="21"/>
        <v>#DIV/0!</v>
      </c>
      <c r="AV19" s="7"/>
      <c r="AW19" s="20"/>
      <c r="AX19" s="11" t="e">
        <f t="shared" si="22"/>
        <v>#DIV/0!</v>
      </c>
      <c r="AY19" s="11" t="e">
        <f t="shared" si="23"/>
        <v>#DIV/0!</v>
      </c>
      <c r="AZ19" s="20"/>
      <c r="BA19" s="20"/>
      <c r="BB19" s="11" t="e">
        <f t="shared" si="24"/>
        <v>#DIV/0!</v>
      </c>
      <c r="BC19" s="11" t="e">
        <f t="shared" si="25"/>
        <v>#DIV/0!</v>
      </c>
      <c r="BD19" s="19">
        <f t="shared" si="26"/>
        <v>0</v>
      </c>
      <c r="BE19" s="11" t="e">
        <f t="shared" si="27"/>
        <v>#DIV/0!</v>
      </c>
      <c r="BF19" s="11" t="e">
        <f t="shared" si="27"/>
        <v>#DIV/0!</v>
      </c>
    </row>
    <row r="20" spans="2:58" x14ac:dyDescent="0.35">
      <c r="B20" s="3">
        <f t="shared" si="28"/>
        <v>14</v>
      </c>
      <c r="C20" s="3" t="s">
        <v>24</v>
      </c>
      <c r="D20" s="7"/>
      <c r="E20" s="7"/>
      <c r="F20" s="11">
        <f t="shared" si="0"/>
        <v>0</v>
      </c>
      <c r="G20" s="11">
        <f t="shared" si="1"/>
        <v>0</v>
      </c>
      <c r="H20" s="49"/>
      <c r="I20" s="7"/>
      <c r="J20" s="11">
        <f t="shared" si="2"/>
        <v>0</v>
      </c>
      <c r="K20" s="11">
        <f t="shared" si="3"/>
        <v>0</v>
      </c>
      <c r="L20" s="49"/>
      <c r="M20" s="7"/>
      <c r="N20" s="11">
        <f t="shared" si="4"/>
        <v>0</v>
      </c>
      <c r="O20" s="11">
        <f t="shared" si="5"/>
        <v>0</v>
      </c>
      <c r="P20" s="49"/>
      <c r="Q20" s="7"/>
      <c r="R20" s="11" t="e">
        <f t="shared" si="6"/>
        <v>#DIV/0!</v>
      </c>
      <c r="S20" s="11" t="e">
        <f t="shared" si="7"/>
        <v>#DIV/0!</v>
      </c>
      <c r="T20" s="49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7"/>
      <c r="AG20" s="7"/>
      <c r="AH20" s="11" t="e">
        <f t="shared" si="14"/>
        <v>#DIV/0!</v>
      </c>
      <c r="AI20" s="11" t="e">
        <f t="shared" si="15"/>
        <v>#DIV/0!</v>
      </c>
      <c r="AJ20" s="7"/>
      <c r="AK20" s="20"/>
      <c r="AL20" s="11" t="e">
        <f t="shared" si="16"/>
        <v>#DIV/0!</v>
      </c>
      <c r="AM20" s="11" t="e">
        <f t="shared" si="17"/>
        <v>#DIV/0!</v>
      </c>
      <c r="AN20" s="7"/>
      <c r="AO20" s="20"/>
      <c r="AP20" s="11" t="e">
        <f t="shared" si="18"/>
        <v>#DIV/0!</v>
      </c>
      <c r="AQ20" s="11" t="e">
        <f t="shared" si="19"/>
        <v>#DIV/0!</v>
      </c>
      <c r="AR20" s="7"/>
      <c r="AS20" s="20"/>
      <c r="AT20" s="11" t="e">
        <f t="shared" si="20"/>
        <v>#DIV/0!</v>
      </c>
      <c r="AU20" s="11" t="e">
        <f t="shared" si="21"/>
        <v>#DIV/0!</v>
      </c>
      <c r="AV20" s="7"/>
      <c r="AW20" s="20"/>
      <c r="AX20" s="11" t="e">
        <f t="shared" si="22"/>
        <v>#DIV/0!</v>
      </c>
      <c r="AY20" s="11" t="e">
        <f t="shared" si="23"/>
        <v>#DIV/0!</v>
      </c>
      <c r="AZ20" s="20"/>
      <c r="BA20" s="20"/>
      <c r="BB20" s="11" t="e">
        <f t="shared" si="24"/>
        <v>#DIV/0!</v>
      </c>
      <c r="BC20" s="11" t="e">
        <f t="shared" si="25"/>
        <v>#DIV/0!</v>
      </c>
      <c r="BD20" s="19">
        <f t="shared" si="26"/>
        <v>0</v>
      </c>
      <c r="BE20" s="11" t="e">
        <f t="shared" si="27"/>
        <v>#DIV/0!</v>
      </c>
      <c r="BF20" s="11" t="e">
        <f t="shared" si="27"/>
        <v>#DIV/0!</v>
      </c>
    </row>
    <row r="21" spans="2:58" x14ac:dyDescent="0.35">
      <c r="B21" s="3">
        <f t="shared" si="28"/>
        <v>15</v>
      </c>
      <c r="C21" s="3" t="s">
        <v>25</v>
      </c>
      <c r="D21" s="7"/>
      <c r="E21" s="7"/>
      <c r="F21" s="11">
        <f t="shared" si="0"/>
        <v>0</v>
      </c>
      <c r="G21" s="11">
        <f t="shared" si="1"/>
        <v>0</v>
      </c>
      <c r="H21" s="49"/>
      <c r="I21" s="7"/>
      <c r="J21" s="11">
        <f t="shared" si="2"/>
        <v>0</v>
      </c>
      <c r="K21" s="11">
        <f t="shared" si="3"/>
        <v>0</v>
      </c>
      <c r="L21" s="49"/>
      <c r="M21" s="7"/>
      <c r="N21" s="11">
        <f t="shared" si="4"/>
        <v>0</v>
      </c>
      <c r="O21" s="11">
        <f t="shared" si="5"/>
        <v>0</v>
      </c>
      <c r="P21" s="49"/>
      <c r="Q21" s="7"/>
      <c r="R21" s="11" t="e">
        <f t="shared" si="6"/>
        <v>#DIV/0!</v>
      </c>
      <c r="S21" s="11" t="e">
        <f t="shared" si="7"/>
        <v>#DIV/0!</v>
      </c>
      <c r="T21" s="49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7"/>
      <c r="AK21" s="20"/>
      <c r="AL21" s="11" t="e">
        <f t="shared" si="16"/>
        <v>#DIV/0!</v>
      </c>
      <c r="AM21" s="11" t="e">
        <f t="shared" si="17"/>
        <v>#DIV/0!</v>
      </c>
      <c r="AN21" s="7"/>
      <c r="AO21" s="20"/>
      <c r="AP21" s="11" t="e">
        <f t="shared" si="18"/>
        <v>#DIV/0!</v>
      </c>
      <c r="AQ21" s="11" t="e">
        <f t="shared" si="19"/>
        <v>#DIV/0!</v>
      </c>
      <c r="AR21" s="7"/>
      <c r="AS21" s="20"/>
      <c r="AT21" s="11" t="e">
        <f t="shared" si="20"/>
        <v>#DIV/0!</v>
      </c>
      <c r="AU21" s="11" t="e">
        <f t="shared" si="21"/>
        <v>#DIV/0!</v>
      </c>
      <c r="AV21" s="7"/>
      <c r="AW21" s="20"/>
      <c r="AX21" s="11" t="e">
        <f t="shared" si="22"/>
        <v>#DIV/0!</v>
      </c>
      <c r="AY21" s="11" t="e">
        <f t="shared" si="23"/>
        <v>#DIV/0!</v>
      </c>
      <c r="AZ21" s="20"/>
      <c r="BA21" s="20"/>
      <c r="BB21" s="11" t="e">
        <f t="shared" si="24"/>
        <v>#DIV/0!</v>
      </c>
      <c r="BC21" s="11" t="e">
        <f t="shared" si="25"/>
        <v>#DIV/0!</v>
      </c>
      <c r="BD21" s="19">
        <f t="shared" si="26"/>
        <v>0</v>
      </c>
      <c r="BE21" s="11" t="e">
        <f t="shared" si="27"/>
        <v>#DIV/0!</v>
      </c>
      <c r="BF21" s="11" t="e">
        <f t="shared" si="27"/>
        <v>#DIV/0!</v>
      </c>
    </row>
    <row r="22" spans="2:58" x14ac:dyDescent="0.35">
      <c r="B22" s="3">
        <f t="shared" si="28"/>
        <v>16</v>
      </c>
      <c r="C22" s="3" t="s">
        <v>26</v>
      </c>
      <c r="D22" s="7"/>
      <c r="E22" s="7"/>
      <c r="F22" s="11">
        <f t="shared" si="0"/>
        <v>0</v>
      </c>
      <c r="G22" s="11">
        <f t="shared" si="1"/>
        <v>0</v>
      </c>
      <c r="H22" s="49"/>
      <c r="I22" s="7"/>
      <c r="J22" s="11">
        <f t="shared" si="2"/>
        <v>0</v>
      </c>
      <c r="K22" s="11">
        <f t="shared" si="3"/>
        <v>0</v>
      </c>
      <c r="L22" s="49"/>
      <c r="M22" s="7"/>
      <c r="N22" s="11">
        <f t="shared" si="4"/>
        <v>0</v>
      </c>
      <c r="O22" s="11">
        <f t="shared" si="5"/>
        <v>0</v>
      </c>
      <c r="P22" s="49"/>
      <c r="Q22" s="7"/>
      <c r="R22" s="11" t="e">
        <f t="shared" si="6"/>
        <v>#DIV/0!</v>
      </c>
      <c r="S22" s="11" t="e">
        <f t="shared" si="7"/>
        <v>#DIV/0!</v>
      </c>
      <c r="T22" s="49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7"/>
      <c r="AK22" s="20"/>
      <c r="AL22" s="11" t="e">
        <f t="shared" si="16"/>
        <v>#DIV/0!</v>
      </c>
      <c r="AM22" s="11" t="e">
        <f t="shared" si="17"/>
        <v>#DIV/0!</v>
      </c>
      <c r="AN22" s="7"/>
      <c r="AO22" s="20"/>
      <c r="AP22" s="11" t="e">
        <f t="shared" si="18"/>
        <v>#DIV/0!</v>
      </c>
      <c r="AQ22" s="11" t="e">
        <f t="shared" si="19"/>
        <v>#DIV/0!</v>
      </c>
      <c r="AR22" s="7"/>
      <c r="AS22" s="20"/>
      <c r="AT22" s="11" t="e">
        <f t="shared" si="20"/>
        <v>#DIV/0!</v>
      </c>
      <c r="AU22" s="11" t="e">
        <f t="shared" si="21"/>
        <v>#DIV/0!</v>
      </c>
      <c r="AV22" s="7"/>
      <c r="AW22" s="20"/>
      <c r="AX22" s="11" t="e">
        <f t="shared" si="22"/>
        <v>#DIV/0!</v>
      </c>
      <c r="AY22" s="11" t="e">
        <f t="shared" si="23"/>
        <v>#DIV/0!</v>
      </c>
      <c r="AZ22" s="20"/>
      <c r="BA22" s="20"/>
      <c r="BB22" s="11" t="e">
        <f t="shared" si="24"/>
        <v>#DIV/0!</v>
      </c>
      <c r="BC22" s="11" t="e">
        <f t="shared" si="25"/>
        <v>#DIV/0!</v>
      </c>
      <c r="BD22" s="19">
        <f t="shared" si="26"/>
        <v>0</v>
      </c>
      <c r="BE22" s="11" t="e">
        <f t="shared" si="27"/>
        <v>#DIV/0!</v>
      </c>
      <c r="BF22" s="11" t="e">
        <f t="shared" si="27"/>
        <v>#DIV/0!</v>
      </c>
    </row>
    <row r="23" spans="2:58" x14ac:dyDescent="0.35">
      <c r="B23" s="18"/>
      <c r="C23" s="18"/>
      <c r="D23" s="18"/>
      <c r="E23" s="17"/>
      <c r="F23" s="7"/>
      <c r="G23" s="7"/>
      <c r="H23" s="49"/>
      <c r="I23" s="7"/>
      <c r="J23" s="7"/>
      <c r="K23" s="7"/>
      <c r="L23" s="54"/>
      <c r="M23" s="17"/>
      <c r="N23" s="7"/>
      <c r="O23" s="7"/>
      <c r="P23" s="54"/>
      <c r="Q23" s="17"/>
      <c r="R23" s="7"/>
      <c r="S23" s="7"/>
      <c r="T23" s="49"/>
      <c r="U23" s="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17"/>
      <c r="BB23" s="7"/>
      <c r="BC23" s="7"/>
      <c r="BD23" s="17"/>
      <c r="BE23" s="7"/>
      <c r="BF23" s="7"/>
    </row>
    <row r="24" spans="2:58" x14ac:dyDescent="0.35">
      <c r="B24" s="4"/>
      <c r="C24" s="4" t="s">
        <v>12</v>
      </c>
      <c r="D24" s="5">
        <f t="shared" ref="D24:AQ24" si="30">SUM(D7:D23)</f>
        <v>18</v>
      </c>
      <c r="E24" s="5">
        <f t="shared" si="30"/>
        <v>2338000</v>
      </c>
      <c r="F24" s="10">
        <f t="shared" si="30"/>
        <v>1</v>
      </c>
      <c r="G24" s="10">
        <f t="shared" si="30"/>
        <v>1</v>
      </c>
      <c r="H24" s="51">
        <f>SUM(H7:H23)</f>
        <v>21</v>
      </c>
      <c r="I24" s="5">
        <f t="shared" si="30"/>
        <v>3917000</v>
      </c>
      <c r="J24" s="10">
        <f t="shared" si="30"/>
        <v>0.99999999999999989</v>
      </c>
      <c r="K24" s="10">
        <f t="shared" si="30"/>
        <v>1</v>
      </c>
      <c r="L24" s="51">
        <f t="shared" si="30"/>
        <v>21</v>
      </c>
      <c r="M24" s="5">
        <f t="shared" si="30"/>
        <v>11611000</v>
      </c>
      <c r="N24" s="10">
        <f t="shared" si="30"/>
        <v>0.99999999999999989</v>
      </c>
      <c r="O24" s="10">
        <f t="shared" si="30"/>
        <v>1</v>
      </c>
      <c r="P24" s="51">
        <f t="shared" si="30"/>
        <v>0</v>
      </c>
      <c r="Q24" s="5">
        <f t="shared" si="30"/>
        <v>0</v>
      </c>
      <c r="R24" s="10" t="e">
        <f t="shared" si="30"/>
        <v>#DIV/0!</v>
      </c>
      <c r="S24" s="10" t="e">
        <f t="shared" si="30"/>
        <v>#DIV/0!</v>
      </c>
      <c r="T24" s="51">
        <f t="shared" si="30"/>
        <v>0</v>
      </c>
      <c r="U24" s="5">
        <f t="shared" si="30"/>
        <v>0</v>
      </c>
      <c r="V24" s="10" t="e">
        <f t="shared" si="30"/>
        <v>#DIV/0!</v>
      </c>
      <c r="W24" s="10" t="e">
        <f t="shared" si="30"/>
        <v>#DIV/0!</v>
      </c>
      <c r="X24" s="5">
        <f t="shared" si="30"/>
        <v>0</v>
      </c>
      <c r="Y24" s="5">
        <f t="shared" si="30"/>
        <v>0</v>
      </c>
      <c r="Z24" s="10" t="e">
        <f t="shared" si="30"/>
        <v>#DIV/0!</v>
      </c>
      <c r="AA24" s="10" t="e">
        <f t="shared" si="30"/>
        <v>#DIV/0!</v>
      </c>
      <c r="AB24" s="5">
        <f t="shared" si="30"/>
        <v>0</v>
      </c>
      <c r="AC24" s="5">
        <f t="shared" si="30"/>
        <v>0</v>
      </c>
      <c r="AD24" s="10" t="e">
        <f t="shared" si="30"/>
        <v>#DIV/0!</v>
      </c>
      <c r="AE24" s="10" t="e">
        <f t="shared" si="30"/>
        <v>#DIV/0!</v>
      </c>
      <c r="AF24" s="5">
        <f t="shared" si="30"/>
        <v>0</v>
      </c>
      <c r="AG24" s="5">
        <f t="shared" si="30"/>
        <v>0</v>
      </c>
      <c r="AH24" s="10" t="e">
        <f t="shared" si="30"/>
        <v>#DIV/0!</v>
      </c>
      <c r="AI24" s="10" t="e">
        <f t="shared" si="30"/>
        <v>#DIV/0!</v>
      </c>
      <c r="AJ24" s="5">
        <f t="shared" si="30"/>
        <v>0</v>
      </c>
      <c r="AK24" s="5">
        <f t="shared" si="30"/>
        <v>0</v>
      </c>
      <c r="AL24" s="10" t="e">
        <f t="shared" si="30"/>
        <v>#DIV/0!</v>
      </c>
      <c r="AM24" s="10" t="e">
        <f t="shared" si="30"/>
        <v>#DIV/0!</v>
      </c>
      <c r="AN24" s="5">
        <f t="shared" si="30"/>
        <v>0</v>
      </c>
      <c r="AO24" s="5">
        <f t="shared" si="30"/>
        <v>0</v>
      </c>
      <c r="AP24" s="10" t="e">
        <f t="shared" si="30"/>
        <v>#DIV/0!</v>
      </c>
      <c r="AQ24" s="10" t="e">
        <f t="shared" si="30"/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>SUM(AW7:AW23)</f>
        <v>0</v>
      </c>
      <c r="AX24" s="10" t="e">
        <f>SUM(AX7:AX23)</f>
        <v>#DIV/0!</v>
      </c>
      <c r="AY24" s="10" t="e">
        <f>SUM(AY7:AY23)</f>
        <v>#DIV/0!</v>
      </c>
      <c r="AZ24" s="5">
        <f>SUM(AZ7:AZ22)</f>
        <v>0</v>
      </c>
      <c r="BA24" s="5">
        <f t="shared" ref="BA24:BF24" si="31">SUM(BA7:BA23)</f>
        <v>0</v>
      </c>
      <c r="BB24" s="10" t="e">
        <f t="shared" si="31"/>
        <v>#DIV/0!</v>
      </c>
      <c r="BC24" s="10" t="e">
        <f t="shared" si="31"/>
        <v>#DIV/0!</v>
      </c>
      <c r="BD24" s="5">
        <f t="shared" si="31"/>
        <v>17866000</v>
      </c>
      <c r="BE24" s="10" t="e">
        <f t="shared" si="31"/>
        <v>#DIV/0!</v>
      </c>
      <c r="BF24" s="10" t="e">
        <f t="shared" si="31"/>
        <v>#DIV/0!</v>
      </c>
    </row>
    <row r="25" spans="2:58" x14ac:dyDescent="0.35">
      <c r="E25" s="1"/>
      <c r="F25" s="1"/>
      <c r="G25" s="1"/>
      <c r="H25" s="53"/>
      <c r="I25" s="1"/>
      <c r="J25" s="1"/>
      <c r="K25" s="1"/>
      <c r="L25" s="53"/>
      <c r="M25" s="1"/>
      <c r="N25" s="1"/>
      <c r="O25" s="1"/>
      <c r="P25" s="53"/>
      <c r="Q25" s="1"/>
      <c r="R25" s="1"/>
      <c r="S25" s="1"/>
      <c r="T25" s="5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</sheetData>
  <mergeCells count="12">
    <mergeCell ref="AV5:AW5"/>
    <mergeCell ref="D5:G5"/>
    <mergeCell ref="H5:I5"/>
    <mergeCell ref="L5:M5"/>
    <mergeCell ref="P5:Q5"/>
    <mergeCell ref="T5:U5"/>
    <mergeCell ref="X5:Y5"/>
    <mergeCell ref="AB5:AC5"/>
    <mergeCell ref="AF5:AG5"/>
    <mergeCell ref="AJ5:AK5"/>
    <mergeCell ref="AN5:AO5"/>
    <mergeCell ref="AR5:AS5"/>
  </mergeCells>
  <conditionalFormatting sqref="E8:E21">
    <cfRule type="top10" dxfId="473" priority="191" bottom="1" rank="1"/>
    <cfRule type="top10" dxfId="472" priority="192" rank="1"/>
  </conditionalFormatting>
  <conditionalFormatting sqref="E22:E23 E7">
    <cfRule type="top10" dxfId="471" priority="66" rank="1"/>
    <cfRule type="top10" dxfId="470" priority="65" bottom="1" rank="1"/>
  </conditionalFormatting>
  <conditionalFormatting sqref="I7">
    <cfRule type="top10" dxfId="469" priority="63" bottom="1" rank="1"/>
    <cfRule type="top10" dxfId="468" priority="64" rank="1"/>
  </conditionalFormatting>
  <conditionalFormatting sqref="I8:I23">
    <cfRule type="top10" dxfId="467" priority="196" rank="1"/>
    <cfRule type="top10" dxfId="466" priority="195" bottom="1" rank="1"/>
  </conditionalFormatting>
  <conditionalFormatting sqref="M7:M22">
    <cfRule type="top10" dxfId="465" priority="200" rank="1"/>
    <cfRule type="top10" dxfId="464" priority="199" bottom="1" rank="1"/>
  </conditionalFormatting>
  <conditionalFormatting sqref="M23">
    <cfRule type="top10" dxfId="463" priority="61" bottom="1" rank="1"/>
    <cfRule type="top10" dxfId="462" priority="62" rank="1"/>
  </conditionalFormatting>
  <conditionalFormatting sqref="Q7:Q22">
    <cfRule type="top10" dxfId="461" priority="203" bottom="1" rank="1"/>
    <cfRule type="top10" dxfId="460" priority="204" rank="1"/>
  </conditionalFormatting>
  <conditionalFormatting sqref="Q23">
    <cfRule type="top10" dxfId="459" priority="59" bottom="1" rank="1"/>
    <cfRule type="top10" dxfId="458" priority="60" rank="1"/>
  </conditionalFormatting>
  <conditionalFormatting sqref="U11:U13">
    <cfRule type="top10" dxfId="457" priority="211" bottom="1" rank="1"/>
    <cfRule type="top10" dxfId="456" priority="212" rank="1"/>
  </conditionalFormatting>
  <conditionalFormatting sqref="U14:U15">
    <cfRule type="top10" dxfId="455" priority="5" bottom="1" rank="1"/>
    <cfRule type="top10" dxfId="454" priority="6" rank="1"/>
  </conditionalFormatting>
  <conditionalFormatting sqref="U16">
    <cfRule type="top10" dxfId="453" priority="13" bottom="1" rank="1"/>
    <cfRule type="top10" dxfId="452" priority="14" rank="1"/>
  </conditionalFormatting>
  <conditionalFormatting sqref="U16:U17 U7:U10 U19:U23">
    <cfRule type="top10" dxfId="451" priority="26" rank="1"/>
    <cfRule type="top10" dxfId="450" priority="25" bottom="1" rank="1"/>
  </conditionalFormatting>
  <conditionalFormatting sqref="U18">
    <cfRule type="top10" dxfId="449" priority="10" rank="1"/>
    <cfRule type="top10" dxfId="448" priority="9" bottom="1" rank="1"/>
  </conditionalFormatting>
  <conditionalFormatting sqref="U18:U19">
    <cfRule type="top10" dxfId="447" priority="12" rank="1"/>
    <cfRule type="top10" dxfId="446" priority="11" bottom="1" rank="1"/>
  </conditionalFormatting>
  <conditionalFormatting sqref="U20:U21">
    <cfRule type="top10" dxfId="445" priority="8" rank="1"/>
    <cfRule type="top10" dxfId="444" priority="7" bottom="1" rank="1"/>
  </conditionalFormatting>
  <conditionalFormatting sqref="Y7:Y12 Y14:Y23">
    <cfRule type="top10" dxfId="443" priority="213" bottom="1" rank="1"/>
    <cfRule type="top10" dxfId="442" priority="214" rank="1"/>
  </conditionalFormatting>
  <conditionalFormatting sqref="Y13">
    <cfRule type="top10" dxfId="441" priority="39" bottom="1" rank="1"/>
    <cfRule type="top10" dxfId="440" priority="40" rank="1"/>
  </conditionalFormatting>
  <conditionalFormatting sqref="AC13">
    <cfRule type="top10" dxfId="439" priority="37" bottom="1" rank="1"/>
    <cfRule type="top10" dxfId="438" priority="38" rank="1"/>
  </conditionalFormatting>
  <conditionalFormatting sqref="AC19">
    <cfRule type="top10" dxfId="437" priority="4" rank="1"/>
    <cfRule type="top10" dxfId="436" priority="3" bottom="1" rank="1"/>
  </conditionalFormatting>
  <conditionalFormatting sqref="AC20:AC23 AC7:AC12 AC14:AC18">
    <cfRule type="top10" dxfId="435" priority="55" bottom="1" rank="1"/>
    <cfRule type="top10" dxfId="434" priority="56" rank="1"/>
  </conditionalFormatting>
  <conditionalFormatting sqref="AG7:AG12 AG14:AG23">
    <cfRule type="top10" dxfId="433" priority="221" bottom="1" rank="1"/>
    <cfRule type="top10" dxfId="432" priority="222" rank="1"/>
  </conditionalFormatting>
  <conditionalFormatting sqref="AG13">
    <cfRule type="top10" dxfId="431" priority="36" rank="1"/>
    <cfRule type="top10" dxfId="430" priority="35" bottom="1" rank="1"/>
  </conditionalFormatting>
  <conditionalFormatting sqref="AK8:AK22">
    <cfRule type="top10" dxfId="429" priority="227" bottom="1" rank="1"/>
    <cfRule type="top10" dxfId="428" priority="228" rank="1"/>
  </conditionalFormatting>
  <conditionalFormatting sqref="AK23 AK7">
    <cfRule type="top10" dxfId="427" priority="52" rank="1"/>
    <cfRule type="top10" dxfId="426" priority="51" bottom="1" rank="1"/>
  </conditionalFormatting>
  <conditionalFormatting sqref="AO8:AO22">
    <cfRule type="top10" dxfId="425" priority="233" bottom="1" rank="1"/>
    <cfRule type="top10" dxfId="424" priority="234" rank="1"/>
  </conditionalFormatting>
  <conditionalFormatting sqref="AO23 AO7">
    <cfRule type="top10" dxfId="423" priority="50" rank="1"/>
    <cfRule type="top10" dxfId="422" priority="49" bottom="1" rank="1"/>
  </conditionalFormatting>
  <conditionalFormatting sqref="AS9:AS22">
    <cfRule type="top10" dxfId="421" priority="239" bottom="1" rank="1"/>
    <cfRule type="top10" dxfId="420" priority="240" rank="1"/>
  </conditionalFormatting>
  <conditionalFormatting sqref="AS23 AS7:AS8">
    <cfRule type="top10" dxfId="419" priority="48" rank="1"/>
    <cfRule type="top10" dxfId="418" priority="47" bottom="1" rank="1"/>
  </conditionalFormatting>
  <conditionalFormatting sqref="AW17">
    <cfRule type="top10" dxfId="417" priority="1" bottom="1" rank="1"/>
    <cfRule type="top10" dxfId="416" priority="2" rank="1"/>
  </conditionalFormatting>
  <conditionalFormatting sqref="AW18:AW22 AW9:AW16">
    <cfRule type="top10" dxfId="415" priority="18" rank="1"/>
    <cfRule type="top10" dxfId="414" priority="17" bottom="1" rank="1"/>
  </conditionalFormatting>
  <conditionalFormatting sqref="AW23 AW7:AW8">
    <cfRule type="top10" dxfId="413" priority="45" bottom="1" rank="1"/>
    <cfRule type="top10" dxfId="412" priority="46" rank="1"/>
  </conditionalFormatting>
  <conditionalFormatting sqref="BA7:BA23">
    <cfRule type="top10" dxfId="411" priority="249" bottom="1" rank="1"/>
    <cfRule type="top10" dxfId="410" priority="250" rank="1"/>
  </conditionalFormatting>
  <conditionalFormatting sqref="BD7:BD23">
    <cfRule type="top10" dxfId="409" priority="253" bottom="1" rank="1"/>
    <cfRule type="top10" dxfId="408" priority="254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B1:BA35"/>
  <sheetViews>
    <sheetView zoomScale="115" zoomScaleNormal="115" workbookViewId="0">
      <pane xSplit="3" ySplit="6" topLeftCell="D10" activePane="bottomRight" state="frozen"/>
      <selection activeCell="I24" sqref="I24"/>
      <selection pane="topRight" activeCell="I24" sqref="I24"/>
      <selection pane="bottomLeft" activeCell="I24" sqref="I24"/>
      <selection pane="bottomRight" activeCell="D14" sqref="D14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style="46" bestFit="1" customWidth="1"/>
    <col min="5" max="5" width="14.81640625" bestFit="1" customWidth="1"/>
    <col min="6" max="7" width="8.453125" bestFit="1" customWidth="1"/>
    <col min="8" max="8" width="6.81640625" style="46" customWidth="1"/>
    <col min="9" max="9" width="15.26953125" bestFit="1" customWidth="1"/>
    <col min="10" max="10" width="8.1796875" bestFit="1" customWidth="1"/>
    <col min="11" max="11" width="8.453125" bestFit="1" customWidth="1"/>
    <col min="12" max="12" width="7" style="46" customWidth="1"/>
    <col min="13" max="13" width="15.26953125" bestFit="1" customWidth="1"/>
    <col min="14" max="14" width="9.26953125" bestFit="1" customWidth="1"/>
    <col min="15" max="15" width="8.453125" bestFit="1" customWidth="1"/>
    <col min="16" max="16" width="7" style="46" customWidth="1"/>
    <col min="17" max="17" width="17.54296875" bestFit="1" customWidth="1"/>
    <col min="18" max="19" width="8.1796875" bestFit="1" customWidth="1"/>
    <col min="20" max="20" width="7.26953125" style="46" customWidth="1"/>
    <col min="21" max="21" width="15.26953125" bestFit="1" customWidth="1"/>
    <col min="22" max="23" width="8.1796875" bestFit="1" customWidth="1"/>
    <col min="24" max="24" width="6.81640625" style="46" customWidth="1"/>
    <col min="25" max="25" width="14.81640625" bestFit="1" customWidth="1"/>
    <col min="26" max="27" width="8.1796875" customWidth="1"/>
    <col min="28" max="28" width="7.1796875" style="46" customWidth="1"/>
    <col min="29" max="29" width="15.26953125" bestFit="1" customWidth="1"/>
    <col min="30" max="31" width="8.1796875" customWidth="1"/>
    <col min="32" max="32" width="7.1796875" style="46" customWidth="1"/>
    <col min="33" max="33" width="15.26953125" bestFit="1" customWidth="1"/>
    <col min="34" max="35" width="8.1796875" customWidth="1"/>
    <col min="36" max="36" width="6.81640625" style="46" customWidth="1"/>
    <col min="37" max="37" width="15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8.1796875" customWidth="1"/>
    <col min="48" max="48" width="6.26953125" customWidth="1"/>
    <col min="49" max="49" width="15.81640625" bestFit="1" customWidth="1"/>
    <col min="50" max="51" width="8.1796875" customWidth="1"/>
    <col min="53" max="53" width="14.81640625" bestFit="1" customWidth="1"/>
  </cols>
  <sheetData>
    <row r="1" spans="2:52" x14ac:dyDescent="0.35">
      <c r="B1" t="s">
        <v>13</v>
      </c>
      <c r="AW1" s="8"/>
    </row>
    <row r="2" spans="2:52" x14ac:dyDescent="0.35">
      <c r="B2" t="s">
        <v>51</v>
      </c>
      <c r="AW2" s="8"/>
    </row>
    <row r="3" spans="2:52" x14ac:dyDescent="0.35">
      <c r="B3" t="s">
        <v>79</v>
      </c>
    </row>
    <row r="4" spans="2:52" s="6" customFormat="1" x14ac:dyDescent="0.35">
      <c r="D4" s="47"/>
      <c r="H4" s="47"/>
      <c r="L4" s="47"/>
      <c r="P4" s="47"/>
      <c r="T4" s="47"/>
      <c r="X4" s="47"/>
      <c r="AB4" s="47"/>
      <c r="AF4" s="47"/>
      <c r="AJ4" s="47"/>
      <c r="AN4" s="9"/>
      <c r="AR4" s="9"/>
      <c r="AV4" s="9"/>
    </row>
    <row r="5" spans="2:52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3"/>
      <c r="J5" s="73"/>
      <c r="K5" s="71"/>
      <c r="L5" s="70" t="s">
        <v>1</v>
      </c>
      <c r="M5" s="73"/>
      <c r="N5" s="73"/>
      <c r="O5" s="71"/>
      <c r="P5" s="70" t="s">
        <v>2</v>
      </c>
      <c r="Q5" s="73"/>
      <c r="R5" s="73"/>
      <c r="S5" s="71"/>
      <c r="T5" s="70" t="s">
        <v>3</v>
      </c>
      <c r="U5" s="73"/>
      <c r="V5" s="73"/>
      <c r="W5" s="71"/>
      <c r="X5" s="70" t="s">
        <v>4</v>
      </c>
      <c r="Y5" s="73"/>
      <c r="Z5" s="73"/>
      <c r="AA5" s="71"/>
      <c r="AB5" s="70" t="s">
        <v>5</v>
      </c>
      <c r="AC5" s="73"/>
      <c r="AD5" s="73"/>
      <c r="AE5" s="71"/>
      <c r="AF5" s="70" t="s">
        <v>6</v>
      </c>
      <c r="AG5" s="73"/>
      <c r="AH5" s="73"/>
      <c r="AI5" s="71"/>
      <c r="AJ5" s="70" t="s">
        <v>7</v>
      </c>
      <c r="AK5" s="73"/>
      <c r="AL5" s="73"/>
      <c r="AM5" s="71"/>
      <c r="AN5" s="70" t="s">
        <v>8</v>
      </c>
      <c r="AO5" s="73"/>
      <c r="AP5" s="73"/>
      <c r="AQ5" s="71"/>
      <c r="AR5" s="70" t="s">
        <v>52</v>
      </c>
      <c r="AS5" s="73"/>
      <c r="AT5" s="73"/>
      <c r="AU5" s="71"/>
      <c r="AV5" s="74" t="s">
        <v>9</v>
      </c>
      <c r="AW5" s="74"/>
      <c r="AX5" s="74"/>
      <c r="AY5" s="74"/>
      <c r="AZ5" s="27"/>
    </row>
    <row r="6" spans="2:52" s="14" customFormat="1" ht="29" x14ac:dyDescent="0.35">
      <c r="B6" s="12"/>
      <c r="C6" s="12"/>
      <c r="D6" s="48" t="s">
        <v>14</v>
      </c>
      <c r="E6" s="13" t="s">
        <v>15</v>
      </c>
      <c r="F6" s="13" t="s">
        <v>27</v>
      </c>
      <c r="G6" s="13" t="s">
        <v>28</v>
      </c>
      <c r="H6" s="48" t="s">
        <v>14</v>
      </c>
      <c r="I6" s="13" t="s">
        <v>15</v>
      </c>
      <c r="J6" s="13" t="s">
        <v>27</v>
      </c>
      <c r="K6" s="13" t="s">
        <v>28</v>
      </c>
      <c r="L6" s="48" t="s">
        <v>14</v>
      </c>
      <c r="M6" s="13" t="s">
        <v>15</v>
      </c>
      <c r="N6" s="13" t="s">
        <v>27</v>
      </c>
      <c r="O6" s="13" t="s">
        <v>28</v>
      </c>
      <c r="P6" s="48" t="s">
        <v>14</v>
      </c>
      <c r="Q6" s="13" t="s">
        <v>15</v>
      </c>
      <c r="R6" s="13" t="s">
        <v>27</v>
      </c>
      <c r="S6" s="13" t="s">
        <v>28</v>
      </c>
      <c r="T6" s="48" t="s">
        <v>14</v>
      </c>
      <c r="U6" s="13" t="s">
        <v>15</v>
      </c>
      <c r="V6" s="13" t="s">
        <v>27</v>
      </c>
      <c r="W6" s="13" t="s">
        <v>28</v>
      </c>
      <c r="X6" s="48" t="s">
        <v>14</v>
      </c>
      <c r="Y6" s="13" t="s">
        <v>15</v>
      </c>
      <c r="Z6" s="13" t="s">
        <v>27</v>
      </c>
      <c r="AA6" s="13" t="s">
        <v>28</v>
      </c>
      <c r="AB6" s="48" t="s">
        <v>14</v>
      </c>
      <c r="AC6" s="13" t="s">
        <v>15</v>
      </c>
      <c r="AD6" s="13" t="s">
        <v>27</v>
      </c>
      <c r="AE6" s="13" t="s">
        <v>28</v>
      </c>
      <c r="AF6" s="48" t="s">
        <v>14</v>
      </c>
      <c r="AG6" s="13" t="s">
        <v>15</v>
      </c>
      <c r="AH6" s="13" t="s">
        <v>27</v>
      </c>
      <c r="AI6" s="13" t="s">
        <v>28</v>
      </c>
      <c r="AJ6" s="48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28"/>
    </row>
    <row r="7" spans="2:52" x14ac:dyDescent="0.35">
      <c r="B7" s="3">
        <v>1</v>
      </c>
      <c r="C7" s="3" t="s">
        <v>31</v>
      </c>
      <c r="D7" s="49">
        <v>0</v>
      </c>
      <c r="E7" s="7">
        <v>0</v>
      </c>
      <c r="F7" s="11" t="e">
        <f t="shared" ref="F7:F13" si="0">D7/$D$24</f>
        <v>#DIV/0!</v>
      </c>
      <c r="G7" s="11" t="e">
        <f t="shared" ref="G7:G13" si="1">E7/$E$24</f>
        <v>#DIV/0!</v>
      </c>
      <c r="H7" s="49">
        <v>0</v>
      </c>
      <c r="I7" s="7">
        <v>0</v>
      </c>
      <c r="J7" s="11" t="e">
        <f t="shared" ref="J7:J13" si="2">H7/$H$24</f>
        <v>#DIV/0!</v>
      </c>
      <c r="K7" s="11" t="e">
        <f t="shared" ref="K7:K13" si="3">I7/$I$24</f>
        <v>#DIV/0!</v>
      </c>
      <c r="L7" s="49">
        <v>0</v>
      </c>
      <c r="M7" s="7">
        <v>0</v>
      </c>
      <c r="N7" s="11" t="e">
        <f t="shared" ref="N7:N13" si="4">L7/$L$24</f>
        <v>#DIV/0!</v>
      </c>
      <c r="O7" s="11" t="e">
        <f t="shared" ref="O7:O13" si="5">M7/$M$24</f>
        <v>#DIV/0!</v>
      </c>
      <c r="P7" s="49">
        <v>0</v>
      </c>
      <c r="Q7" s="7">
        <v>0</v>
      </c>
      <c r="R7" s="11" t="e">
        <f t="shared" ref="R7:R13" si="6">P7/$P$24</f>
        <v>#DIV/0!</v>
      </c>
      <c r="S7" s="11" t="e">
        <f t="shared" ref="S7:S13" si="7">Q7/$Q$24</f>
        <v>#DIV/0!</v>
      </c>
      <c r="T7" s="49">
        <v>0</v>
      </c>
      <c r="U7" s="7">
        <v>0</v>
      </c>
      <c r="V7" s="11" t="e">
        <f t="shared" ref="V7:V13" si="8">T7/$T$24</f>
        <v>#DIV/0!</v>
      </c>
      <c r="W7" s="11" t="e">
        <f t="shared" ref="W7:W13" si="9">U7/$U$24</f>
        <v>#DIV/0!</v>
      </c>
      <c r="X7" s="49">
        <v>0</v>
      </c>
      <c r="Y7" s="7">
        <v>0</v>
      </c>
      <c r="Z7" s="11" t="e">
        <f t="shared" ref="Z7:Z13" si="10">X7/$X$24</f>
        <v>#DIV/0!</v>
      </c>
      <c r="AA7" s="11" t="e">
        <f t="shared" ref="AA7:AA13" si="11">Y7/$Y$24</f>
        <v>#DIV/0!</v>
      </c>
      <c r="AB7" s="49">
        <v>0</v>
      </c>
      <c r="AC7" s="7">
        <v>0</v>
      </c>
      <c r="AD7" s="11" t="e">
        <f t="shared" ref="AD7:AD13" si="12">AB7/$AB$24</f>
        <v>#DIV/0!</v>
      </c>
      <c r="AE7" s="11" t="e">
        <f t="shared" ref="AE7:AE13" si="13">AC7/$AC$24</f>
        <v>#DIV/0!</v>
      </c>
      <c r="AF7" s="49">
        <v>0</v>
      </c>
      <c r="AG7" s="7">
        <v>0</v>
      </c>
      <c r="AH7" s="11" t="e">
        <f t="shared" ref="AH7:AH13" si="14">AF7/$AF$24</f>
        <v>#DIV/0!</v>
      </c>
      <c r="AI7" s="11" t="e">
        <f t="shared" ref="AI7:AI13" si="15">AG7/$AG$24</f>
        <v>#DIV/0!</v>
      </c>
      <c r="AJ7" s="49">
        <v>0</v>
      </c>
      <c r="AK7" s="7">
        <v>0</v>
      </c>
      <c r="AL7" s="11" t="e">
        <f t="shared" ref="AL7:AL13" si="16">AJ7/$AJ$24</f>
        <v>#DIV/0!</v>
      </c>
      <c r="AM7" s="11" t="e">
        <f t="shared" ref="AM7:AM13" si="17">AK7/$AK$24</f>
        <v>#DIV/0!</v>
      </c>
      <c r="AN7" s="15">
        <v>0</v>
      </c>
      <c r="AO7" s="7">
        <v>0</v>
      </c>
      <c r="AP7" s="11" t="e">
        <f t="shared" ref="AP7:AP13" si="18">AN7/$AN$24</f>
        <v>#DIV/0!</v>
      </c>
      <c r="AQ7" s="11" t="e">
        <f t="shared" ref="AQ7:AQ13" si="19">AO7/$AO$24</f>
        <v>#DIV/0!</v>
      </c>
      <c r="AR7" s="15">
        <v>0</v>
      </c>
      <c r="AS7" s="7">
        <v>0</v>
      </c>
      <c r="AT7" s="11" t="e">
        <f t="shared" ref="AT7:AT13" si="20">AR7/$AR$24</f>
        <v>#DIV/0!</v>
      </c>
      <c r="AU7" s="11" t="e">
        <f t="shared" ref="AU7:AU13" si="21">AS7/$AS$24</f>
        <v>#DIV/0!</v>
      </c>
      <c r="AV7" s="15">
        <v>0</v>
      </c>
      <c r="AW7" s="7">
        <v>0</v>
      </c>
      <c r="AX7" s="11" t="e">
        <f t="shared" ref="AX7:AX13" si="22">AV7/$AF$24</f>
        <v>#DIV/0!</v>
      </c>
      <c r="AY7" s="11" t="e">
        <f t="shared" ref="AY7:AY13" si="23">AW7/$AG$24</f>
        <v>#DIV/0!</v>
      </c>
    </row>
    <row r="8" spans="2:52" x14ac:dyDescent="0.35">
      <c r="B8" s="3">
        <f t="shared" ref="B8:B22" si="24">B7+1</f>
        <v>2</v>
      </c>
      <c r="C8" s="3" t="s">
        <v>17</v>
      </c>
      <c r="D8" s="49">
        <v>0</v>
      </c>
      <c r="E8" s="7">
        <v>0</v>
      </c>
      <c r="F8" s="11" t="e">
        <f t="shared" si="0"/>
        <v>#DIV/0!</v>
      </c>
      <c r="G8" s="11" t="e">
        <f t="shared" si="1"/>
        <v>#DIV/0!</v>
      </c>
      <c r="H8" s="49">
        <v>0</v>
      </c>
      <c r="I8" s="7">
        <v>0</v>
      </c>
      <c r="J8" s="11" t="e">
        <f t="shared" si="2"/>
        <v>#DIV/0!</v>
      </c>
      <c r="K8" s="11" t="e">
        <f t="shared" si="3"/>
        <v>#DIV/0!</v>
      </c>
      <c r="L8" s="49">
        <v>0</v>
      </c>
      <c r="M8" s="7">
        <v>0</v>
      </c>
      <c r="N8" s="11" t="e">
        <f t="shared" si="4"/>
        <v>#DIV/0!</v>
      </c>
      <c r="O8" s="11" t="e">
        <f t="shared" si="5"/>
        <v>#DIV/0!</v>
      </c>
      <c r="P8" s="49">
        <v>0</v>
      </c>
      <c r="Q8" s="7">
        <v>0</v>
      </c>
      <c r="R8" s="11" t="e">
        <f t="shared" si="6"/>
        <v>#DIV/0!</v>
      </c>
      <c r="S8" s="11" t="e">
        <f t="shared" si="7"/>
        <v>#DIV/0!</v>
      </c>
      <c r="T8" s="49">
        <v>0</v>
      </c>
      <c r="U8" s="7">
        <v>0</v>
      </c>
      <c r="V8" s="11" t="e">
        <f t="shared" si="8"/>
        <v>#DIV/0!</v>
      </c>
      <c r="W8" s="11" t="e">
        <f t="shared" si="9"/>
        <v>#DIV/0!</v>
      </c>
      <c r="X8" s="49">
        <v>0</v>
      </c>
      <c r="Y8" s="7">
        <v>0</v>
      </c>
      <c r="Z8" s="11" t="e">
        <f t="shared" si="10"/>
        <v>#DIV/0!</v>
      </c>
      <c r="AA8" s="11" t="e">
        <f t="shared" si="11"/>
        <v>#DIV/0!</v>
      </c>
      <c r="AB8" s="49">
        <v>0</v>
      </c>
      <c r="AC8" s="7">
        <v>0</v>
      </c>
      <c r="AD8" s="11" t="e">
        <f t="shared" si="12"/>
        <v>#DIV/0!</v>
      </c>
      <c r="AE8" s="11" t="e">
        <f t="shared" si="13"/>
        <v>#DIV/0!</v>
      </c>
      <c r="AF8" s="49">
        <v>0</v>
      </c>
      <c r="AG8" s="7">
        <v>0</v>
      </c>
      <c r="AH8" s="11" t="e">
        <f t="shared" si="14"/>
        <v>#DIV/0!</v>
      </c>
      <c r="AI8" s="11" t="e">
        <f t="shared" si="15"/>
        <v>#DIV/0!</v>
      </c>
      <c r="AJ8" s="49">
        <v>0</v>
      </c>
      <c r="AK8" s="7">
        <v>0</v>
      </c>
      <c r="AL8" s="11" t="e">
        <f t="shared" si="16"/>
        <v>#DIV/0!</v>
      </c>
      <c r="AM8" s="11" t="e">
        <f t="shared" si="17"/>
        <v>#DIV/0!</v>
      </c>
      <c r="AN8" s="15">
        <v>0</v>
      </c>
      <c r="AO8" s="7">
        <v>0</v>
      </c>
      <c r="AP8" s="11" t="e">
        <f t="shared" si="18"/>
        <v>#DIV/0!</v>
      </c>
      <c r="AQ8" s="11" t="e">
        <f t="shared" si="19"/>
        <v>#DIV/0!</v>
      </c>
      <c r="AR8" s="15">
        <v>0</v>
      </c>
      <c r="AS8" s="7">
        <v>0</v>
      </c>
      <c r="AT8" s="11" t="e">
        <f t="shared" si="20"/>
        <v>#DIV/0!</v>
      </c>
      <c r="AU8" s="11" t="e">
        <f t="shared" si="21"/>
        <v>#DIV/0!</v>
      </c>
      <c r="AV8" s="15">
        <v>0</v>
      </c>
      <c r="AW8" s="7">
        <v>0</v>
      </c>
      <c r="AX8" s="11" t="e">
        <f t="shared" si="22"/>
        <v>#DIV/0!</v>
      </c>
      <c r="AY8" s="11" t="e">
        <f t="shared" si="23"/>
        <v>#DIV/0!</v>
      </c>
    </row>
    <row r="9" spans="2:52" x14ac:dyDescent="0.35">
      <c r="B9" s="3">
        <f t="shared" si="24"/>
        <v>3</v>
      </c>
      <c r="C9" s="3" t="s">
        <v>18</v>
      </c>
      <c r="D9" s="49">
        <v>0</v>
      </c>
      <c r="E9" s="7">
        <v>0</v>
      </c>
      <c r="F9" s="11" t="e">
        <f t="shared" si="0"/>
        <v>#DIV/0!</v>
      </c>
      <c r="G9" s="11" t="e">
        <f t="shared" si="1"/>
        <v>#DIV/0!</v>
      </c>
      <c r="H9" s="49">
        <v>0</v>
      </c>
      <c r="I9" s="7">
        <v>0</v>
      </c>
      <c r="J9" s="11" t="e">
        <f t="shared" si="2"/>
        <v>#DIV/0!</v>
      </c>
      <c r="K9" s="11" t="e">
        <f t="shared" si="3"/>
        <v>#DIV/0!</v>
      </c>
      <c r="L9" s="49">
        <v>0</v>
      </c>
      <c r="M9" s="7">
        <v>0</v>
      </c>
      <c r="N9" s="11" t="e">
        <f t="shared" si="4"/>
        <v>#DIV/0!</v>
      </c>
      <c r="O9" s="11" t="e">
        <f t="shared" si="5"/>
        <v>#DIV/0!</v>
      </c>
      <c r="P9" s="49">
        <v>0</v>
      </c>
      <c r="Q9" s="7">
        <v>0</v>
      </c>
      <c r="R9" s="11" t="e">
        <f t="shared" si="6"/>
        <v>#DIV/0!</v>
      </c>
      <c r="S9" s="11" t="e">
        <f t="shared" si="7"/>
        <v>#DIV/0!</v>
      </c>
      <c r="T9" s="49">
        <v>0</v>
      </c>
      <c r="U9" s="7">
        <v>0</v>
      </c>
      <c r="V9" s="11" t="e">
        <f t="shared" si="8"/>
        <v>#DIV/0!</v>
      </c>
      <c r="W9" s="11" t="e">
        <f t="shared" si="9"/>
        <v>#DIV/0!</v>
      </c>
      <c r="X9" s="49">
        <v>0</v>
      </c>
      <c r="Y9" s="7">
        <v>0</v>
      </c>
      <c r="Z9" s="11" t="e">
        <f t="shared" si="10"/>
        <v>#DIV/0!</v>
      </c>
      <c r="AA9" s="11" t="e">
        <f t="shared" si="11"/>
        <v>#DIV/0!</v>
      </c>
      <c r="AB9" s="49">
        <v>0</v>
      </c>
      <c r="AC9" s="7">
        <v>0</v>
      </c>
      <c r="AD9" s="11" t="e">
        <f t="shared" si="12"/>
        <v>#DIV/0!</v>
      </c>
      <c r="AE9" s="11" t="e">
        <f t="shared" si="13"/>
        <v>#DIV/0!</v>
      </c>
      <c r="AF9" s="49">
        <v>0</v>
      </c>
      <c r="AG9" s="7">
        <v>0</v>
      </c>
      <c r="AH9" s="11" t="e">
        <f t="shared" si="14"/>
        <v>#DIV/0!</v>
      </c>
      <c r="AI9" s="11" t="e">
        <f t="shared" si="15"/>
        <v>#DIV/0!</v>
      </c>
      <c r="AJ9" s="49">
        <v>0</v>
      </c>
      <c r="AK9" s="7">
        <v>0</v>
      </c>
      <c r="AL9" s="11" t="e">
        <f t="shared" si="16"/>
        <v>#DIV/0!</v>
      </c>
      <c r="AM9" s="11" t="e">
        <f t="shared" si="17"/>
        <v>#DIV/0!</v>
      </c>
      <c r="AN9" s="15">
        <v>0</v>
      </c>
      <c r="AO9" s="7">
        <v>0</v>
      </c>
      <c r="AP9" s="11" t="e">
        <f t="shared" si="18"/>
        <v>#DIV/0!</v>
      </c>
      <c r="AQ9" s="11" t="e">
        <f t="shared" si="19"/>
        <v>#DIV/0!</v>
      </c>
      <c r="AR9" s="15">
        <v>0</v>
      </c>
      <c r="AS9" s="7">
        <v>0</v>
      </c>
      <c r="AT9" s="11" t="e">
        <f t="shared" si="20"/>
        <v>#DIV/0!</v>
      </c>
      <c r="AU9" s="11" t="e">
        <f t="shared" si="21"/>
        <v>#DIV/0!</v>
      </c>
      <c r="AV9" s="15">
        <v>0</v>
      </c>
      <c r="AW9" s="7">
        <v>0</v>
      </c>
      <c r="AX9" s="11" t="e">
        <f t="shared" si="22"/>
        <v>#DIV/0!</v>
      </c>
      <c r="AY9" s="11" t="e">
        <f t="shared" si="23"/>
        <v>#DIV/0!</v>
      </c>
    </row>
    <row r="10" spans="2:52" x14ac:dyDescent="0.35">
      <c r="B10" s="3">
        <f t="shared" si="24"/>
        <v>4</v>
      </c>
      <c r="C10" s="29" t="s">
        <v>19</v>
      </c>
      <c r="D10" s="49">
        <v>0</v>
      </c>
      <c r="E10" s="7">
        <v>0</v>
      </c>
      <c r="F10" s="11" t="e">
        <f t="shared" si="0"/>
        <v>#DIV/0!</v>
      </c>
      <c r="G10" s="11" t="e">
        <f t="shared" si="1"/>
        <v>#DIV/0!</v>
      </c>
      <c r="H10" s="49"/>
      <c r="I10" s="7"/>
      <c r="J10" s="11" t="e">
        <f t="shared" si="2"/>
        <v>#DIV/0!</v>
      </c>
      <c r="K10" s="11" t="e">
        <f t="shared" si="3"/>
        <v>#DIV/0!</v>
      </c>
      <c r="L10" s="49"/>
      <c r="M10" s="7"/>
      <c r="N10" s="11" t="e">
        <f t="shared" si="4"/>
        <v>#DIV/0!</v>
      </c>
      <c r="O10" s="11" t="e">
        <f t="shared" si="5"/>
        <v>#DIV/0!</v>
      </c>
      <c r="P10" s="49"/>
      <c r="Q10" s="7"/>
      <c r="R10" s="11" t="e">
        <f t="shared" si="6"/>
        <v>#DIV/0!</v>
      </c>
      <c r="S10" s="11" t="e">
        <f t="shared" si="7"/>
        <v>#DIV/0!</v>
      </c>
      <c r="T10" s="49"/>
      <c r="U10" s="7"/>
      <c r="V10" s="11" t="e">
        <f t="shared" si="8"/>
        <v>#DIV/0!</v>
      </c>
      <c r="W10" s="11" t="e">
        <f t="shared" si="9"/>
        <v>#DIV/0!</v>
      </c>
      <c r="X10" s="49"/>
      <c r="Y10" s="7"/>
      <c r="Z10" s="11" t="e">
        <f t="shared" si="10"/>
        <v>#DIV/0!</v>
      </c>
      <c r="AA10" s="11" t="e">
        <f t="shared" si="11"/>
        <v>#DIV/0!</v>
      </c>
      <c r="AB10" s="49"/>
      <c r="AC10" s="7"/>
      <c r="AD10" s="11" t="e">
        <f t="shared" si="12"/>
        <v>#DIV/0!</v>
      </c>
      <c r="AE10" s="11" t="e">
        <f t="shared" si="13"/>
        <v>#DIV/0!</v>
      </c>
      <c r="AF10" s="49"/>
      <c r="AG10" s="7"/>
      <c r="AH10" s="11" t="e">
        <f t="shared" si="14"/>
        <v>#DIV/0!</v>
      </c>
      <c r="AI10" s="11" t="e">
        <f t="shared" si="15"/>
        <v>#DIV/0!</v>
      </c>
      <c r="AJ10" s="49"/>
      <c r="AK10" s="7"/>
      <c r="AL10" s="11" t="e">
        <f t="shared" si="16"/>
        <v>#DIV/0!</v>
      </c>
      <c r="AM10" s="11" t="e">
        <f t="shared" si="17"/>
        <v>#DIV/0!</v>
      </c>
      <c r="AN10" s="49"/>
      <c r="AO10" s="7"/>
      <c r="AP10" s="11" t="e">
        <f t="shared" si="18"/>
        <v>#DIV/0!</v>
      </c>
      <c r="AQ10" s="11" t="e">
        <f t="shared" si="19"/>
        <v>#DIV/0!</v>
      </c>
      <c r="AR10" s="15"/>
      <c r="AS10" s="7"/>
      <c r="AT10" s="11" t="e">
        <f t="shared" si="20"/>
        <v>#DIV/0!</v>
      </c>
      <c r="AU10" s="11" t="e">
        <f t="shared" si="21"/>
        <v>#DIV/0!</v>
      </c>
      <c r="AV10" s="15"/>
      <c r="AW10" s="7"/>
      <c r="AX10" s="11" t="e">
        <f t="shared" si="22"/>
        <v>#DIV/0!</v>
      </c>
      <c r="AY10" s="11" t="e">
        <f t="shared" si="23"/>
        <v>#DIV/0!</v>
      </c>
    </row>
    <row r="11" spans="2:52" x14ac:dyDescent="0.35">
      <c r="B11" s="3">
        <f t="shared" si="24"/>
        <v>5</v>
      </c>
      <c r="C11" s="3" t="s">
        <v>20</v>
      </c>
      <c r="D11" s="49">
        <v>0</v>
      </c>
      <c r="E11" s="7">
        <v>0</v>
      </c>
      <c r="F11" s="11" t="e">
        <f t="shared" si="0"/>
        <v>#DIV/0!</v>
      </c>
      <c r="G11" s="11" t="e">
        <f t="shared" si="1"/>
        <v>#DIV/0!</v>
      </c>
      <c r="H11" s="49">
        <v>0</v>
      </c>
      <c r="I11" s="7">
        <v>0</v>
      </c>
      <c r="J11" s="11" t="e">
        <f t="shared" si="2"/>
        <v>#DIV/0!</v>
      </c>
      <c r="K11" s="11" t="e">
        <f t="shared" si="3"/>
        <v>#DIV/0!</v>
      </c>
      <c r="L11" s="49">
        <v>0</v>
      </c>
      <c r="M11" s="7">
        <v>0</v>
      </c>
      <c r="N11" s="11" t="e">
        <f t="shared" si="4"/>
        <v>#DIV/0!</v>
      </c>
      <c r="O11" s="11" t="e">
        <f t="shared" si="5"/>
        <v>#DIV/0!</v>
      </c>
      <c r="P11" s="49">
        <v>0</v>
      </c>
      <c r="Q11" s="7">
        <v>0</v>
      </c>
      <c r="R11" s="11" t="e">
        <f t="shared" si="6"/>
        <v>#DIV/0!</v>
      </c>
      <c r="S11" s="11" t="e">
        <f t="shared" si="7"/>
        <v>#DIV/0!</v>
      </c>
      <c r="T11" s="49">
        <v>0</v>
      </c>
      <c r="U11" s="7">
        <v>0</v>
      </c>
      <c r="V11" s="11" t="e">
        <f t="shared" si="8"/>
        <v>#DIV/0!</v>
      </c>
      <c r="W11" s="11" t="e">
        <f t="shared" si="9"/>
        <v>#DIV/0!</v>
      </c>
      <c r="X11" s="49">
        <v>0</v>
      </c>
      <c r="Y11" s="7">
        <v>0</v>
      </c>
      <c r="Z11" s="11" t="e">
        <f t="shared" si="10"/>
        <v>#DIV/0!</v>
      </c>
      <c r="AA11" s="11" t="e">
        <f t="shared" si="11"/>
        <v>#DIV/0!</v>
      </c>
      <c r="AB11" s="49">
        <v>0</v>
      </c>
      <c r="AC11" s="7">
        <v>0</v>
      </c>
      <c r="AD11" s="11" t="e">
        <f t="shared" si="12"/>
        <v>#DIV/0!</v>
      </c>
      <c r="AE11" s="11" t="e">
        <f t="shared" si="13"/>
        <v>#DIV/0!</v>
      </c>
      <c r="AF11" s="49">
        <v>0</v>
      </c>
      <c r="AG11" s="7">
        <v>0</v>
      </c>
      <c r="AH11" s="11" t="e">
        <f t="shared" si="14"/>
        <v>#DIV/0!</v>
      </c>
      <c r="AI11" s="11" t="e">
        <f t="shared" si="15"/>
        <v>#DIV/0!</v>
      </c>
      <c r="AJ11" s="49">
        <v>0</v>
      </c>
      <c r="AK11" s="7">
        <v>0</v>
      </c>
      <c r="AL11" s="11" t="e">
        <f t="shared" si="16"/>
        <v>#DIV/0!</v>
      </c>
      <c r="AM11" s="11" t="e">
        <f t="shared" si="17"/>
        <v>#DIV/0!</v>
      </c>
      <c r="AN11" s="15">
        <v>0</v>
      </c>
      <c r="AO11" s="7">
        <v>0</v>
      </c>
      <c r="AP11" s="11" t="e">
        <f t="shared" si="18"/>
        <v>#DIV/0!</v>
      </c>
      <c r="AQ11" s="11" t="e">
        <f t="shared" si="19"/>
        <v>#DIV/0!</v>
      </c>
      <c r="AR11" s="15">
        <v>0</v>
      </c>
      <c r="AS11" s="7">
        <v>0</v>
      </c>
      <c r="AT11" s="11" t="e">
        <f t="shared" si="20"/>
        <v>#DIV/0!</v>
      </c>
      <c r="AU11" s="11" t="e">
        <f t="shared" si="21"/>
        <v>#DIV/0!</v>
      </c>
      <c r="AV11" s="15">
        <v>0</v>
      </c>
      <c r="AW11" s="7">
        <v>0</v>
      </c>
      <c r="AX11" s="11" t="e">
        <f t="shared" si="22"/>
        <v>#DIV/0!</v>
      </c>
      <c r="AY11" s="11" t="e">
        <f t="shared" si="23"/>
        <v>#DIV/0!</v>
      </c>
    </row>
    <row r="12" spans="2:52" x14ac:dyDescent="0.35">
      <c r="B12" s="3">
        <f t="shared" si="24"/>
        <v>6</v>
      </c>
      <c r="C12" s="3" t="s">
        <v>30</v>
      </c>
      <c r="D12" s="49">
        <v>0</v>
      </c>
      <c r="E12" s="7">
        <v>0</v>
      </c>
      <c r="F12" s="11" t="e">
        <f t="shared" si="0"/>
        <v>#DIV/0!</v>
      </c>
      <c r="G12" s="11" t="e">
        <f t="shared" si="1"/>
        <v>#DIV/0!</v>
      </c>
      <c r="H12" s="49">
        <v>0</v>
      </c>
      <c r="I12" s="7">
        <v>0</v>
      </c>
      <c r="J12" s="11" t="e">
        <f t="shared" si="2"/>
        <v>#DIV/0!</v>
      </c>
      <c r="K12" s="11" t="e">
        <f t="shared" si="3"/>
        <v>#DIV/0!</v>
      </c>
      <c r="L12" s="49">
        <v>0</v>
      </c>
      <c r="M12" s="7">
        <v>0</v>
      </c>
      <c r="N12" s="11" t="e">
        <f t="shared" si="4"/>
        <v>#DIV/0!</v>
      </c>
      <c r="O12" s="11" t="e">
        <f t="shared" si="5"/>
        <v>#DIV/0!</v>
      </c>
      <c r="P12" s="49">
        <v>0</v>
      </c>
      <c r="Q12" s="7">
        <v>0</v>
      </c>
      <c r="R12" s="11" t="e">
        <f t="shared" si="6"/>
        <v>#DIV/0!</v>
      </c>
      <c r="S12" s="11" t="e">
        <f t="shared" si="7"/>
        <v>#DIV/0!</v>
      </c>
      <c r="T12" s="49">
        <v>0</v>
      </c>
      <c r="U12" s="7">
        <v>0</v>
      </c>
      <c r="V12" s="11" t="e">
        <f t="shared" si="8"/>
        <v>#DIV/0!</v>
      </c>
      <c r="W12" s="11" t="e">
        <f t="shared" si="9"/>
        <v>#DIV/0!</v>
      </c>
      <c r="X12" s="49">
        <v>0</v>
      </c>
      <c r="Y12" s="7">
        <v>0</v>
      </c>
      <c r="Z12" s="11" t="e">
        <f t="shared" si="10"/>
        <v>#DIV/0!</v>
      </c>
      <c r="AA12" s="11" t="e">
        <f t="shared" si="11"/>
        <v>#DIV/0!</v>
      </c>
      <c r="AB12" s="49">
        <v>0</v>
      </c>
      <c r="AC12" s="7">
        <v>0</v>
      </c>
      <c r="AD12" s="11" t="e">
        <f t="shared" si="12"/>
        <v>#DIV/0!</v>
      </c>
      <c r="AE12" s="11" t="e">
        <f t="shared" si="13"/>
        <v>#DIV/0!</v>
      </c>
      <c r="AF12" s="49">
        <v>0</v>
      </c>
      <c r="AG12" s="7">
        <v>0</v>
      </c>
      <c r="AH12" s="11" t="e">
        <f t="shared" si="14"/>
        <v>#DIV/0!</v>
      </c>
      <c r="AI12" s="11" t="e">
        <f t="shared" si="15"/>
        <v>#DIV/0!</v>
      </c>
      <c r="AJ12" s="49">
        <v>0</v>
      </c>
      <c r="AK12" s="7">
        <v>0</v>
      </c>
      <c r="AL12" s="11" t="e">
        <f t="shared" si="16"/>
        <v>#DIV/0!</v>
      </c>
      <c r="AM12" s="11" t="e">
        <f t="shared" si="17"/>
        <v>#DIV/0!</v>
      </c>
      <c r="AN12" s="15">
        <v>0</v>
      </c>
      <c r="AO12" s="7">
        <v>0</v>
      </c>
      <c r="AP12" s="11" t="e">
        <f t="shared" si="18"/>
        <v>#DIV/0!</v>
      </c>
      <c r="AQ12" s="11" t="e">
        <f t="shared" si="19"/>
        <v>#DIV/0!</v>
      </c>
      <c r="AR12" s="15">
        <v>0</v>
      </c>
      <c r="AS12" s="7">
        <v>0</v>
      </c>
      <c r="AT12" s="11" t="e">
        <f t="shared" si="20"/>
        <v>#DIV/0!</v>
      </c>
      <c r="AU12" s="11" t="e">
        <f t="shared" si="21"/>
        <v>#DIV/0!</v>
      </c>
      <c r="AV12" s="15">
        <v>0</v>
      </c>
      <c r="AW12" s="7">
        <v>0</v>
      </c>
      <c r="AX12" s="11" t="e">
        <f t="shared" si="22"/>
        <v>#DIV/0!</v>
      </c>
      <c r="AY12" s="11" t="e">
        <f t="shared" si="23"/>
        <v>#DIV/0!</v>
      </c>
    </row>
    <row r="13" spans="2:52" x14ac:dyDescent="0.35">
      <c r="B13" s="3">
        <f t="shared" si="24"/>
        <v>7</v>
      </c>
      <c r="C13" s="3" t="s">
        <v>39</v>
      </c>
      <c r="D13" s="49"/>
      <c r="E13" s="7"/>
      <c r="F13" s="11" t="e">
        <f t="shared" si="0"/>
        <v>#DIV/0!</v>
      </c>
      <c r="G13" s="11" t="e">
        <f t="shared" si="1"/>
        <v>#DIV/0!</v>
      </c>
      <c r="H13" s="49">
        <v>0</v>
      </c>
      <c r="I13" s="7">
        <v>0</v>
      </c>
      <c r="J13" s="11" t="e">
        <f t="shared" si="2"/>
        <v>#DIV/0!</v>
      </c>
      <c r="K13" s="11" t="e">
        <f t="shared" si="3"/>
        <v>#DIV/0!</v>
      </c>
      <c r="L13" s="49">
        <v>0</v>
      </c>
      <c r="M13" s="7">
        <v>0</v>
      </c>
      <c r="N13" s="11" t="e">
        <f t="shared" si="4"/>
        <v>#DIV/0!</v>
      </c>
      <c r="O13" s="11" t="e">
        <f t="shared" si="5"/>
        <v>#DIV/0!</v>
      </c>
      <c r="P13" s="49">
        <v>0</v>
      </c>
      <c r="Q13" s="7">
        <v>0</v>
      </c>
      <c r="R13" s="11" t="e">
        <f t="shared" si="6"/>
        <v>#DIV/0!</v>
      </c>
      <c r="S13" s="11" t="e">
        <f t="shared" si="7"/>
        <v>#DIV/0!</v>
      </c>
      <c r="T13" s="49">
        <v>0</v>
      </c>
      <c r="U13" s="7">
        <v>0</v>
      </c>
      <c r="V13" s="11" t="e">
        <f t="shared" si="8"/>
        <v>#DIV/0!</v>
      </c>
      <c r="W13" s="11" t="e">
        <f t="shared" si="9"/>
        <v>#DIV/0!</v>
      </c>
      <c r="X13" s="49">
        <v>0</v>
      </c>
      <c r="Y13" s="7">
        <v>0</v>
      </c>
      <c r="Z13" s="11" t="e">
        <f t="shared" si="10"/>
        <v>#DIV/0!</v>
      </c>
      <c r="AA13" s="11" t="e">
        <f t="shared" si="11"/>
        <v>#DIV/0!</v>
      </c>
      <c r="AB13" s="49">
        <v>0</v>
      </c>
      <c r="AC13" s="7">
        <v>0</v>
      </c>
      <c r="AD13" s="11" t="e">
        <f t="shared" si="12"/>
        <v>#DIV/0!</v>
      </c>
      <c r="AE13" s="11" t="e">
        <f t="shared" si="13"/>
        <v>#DIV/0!</v>
      </c>
      <c r="AF13" s="49">
        <v>0</v>
      </c>
      <c r="AG13" s="7">
        <v>0</v>
      </c>
      <c r="AH13" s="11" t="e">
        <f t="shared" si="14"/>
        <v>#DIV/0!</v>
      </c>
      <c r="AI13" s="11" t="e">
        <f t="shared" si="15"/>
        <v>#DIV/0!</v>
      </c>
      <c r="AJ13" s="49">
        <v>0</v>
      </c>
      <c r="AK13" s="7">
        <v>0</v>
      </c>
      <c r="AL13" s="11" t="e">
        <f t="shared" si="16"/>
        <v>#DIV/0!</v>
      </c>
      <c r="AM13" s="11" t="e">
        <f t="shared" si="17"/>
        <v>#DIV/0!</v>
      </c>
      <c r="AN13" s="15">
        <v>0</v>
      </c>
      <c r="AO13" s="7">
        <v>0</v>
      </c>
      <c r="AP13" s="11" t="e">
        <f t="shared" si="18"/>
        <v>#DIV/0!</v>
      </c>
      <c r="AQ13" s="11" t="e">
        <f t="shared" si="19"/>
        <v>#DIV/0!</v>
      </c>
      <c r="AR13" s="15">
        <v>0</v>
      </c>
      <c r="AS13" s="7">
        <v>0</v>
      </c>
      <c r="AT13" s="11" t="e">
        <f t="shared" si="20"/>
        <v>#DIV/0!</v>
      </c>
      <c r="AU13" s="11" t="e">
        <f t="shared" si="21"/>
        <v>#DIV/0!</v>
      </c>
      <c r="AV13" s="15">
        <v>0</v>
      </c>
      <c r="AW13" s="7">
        <v>0</v>
      </c>
      <c r="AX13" s="11" t="e">
        <f t="shared" si="22"/>
        <v>#DIV/0!</v>
      </c>
      <c r="AY13" s="11" t="e">
        <f t="shared" si="23"/>
        <v>#DIV/0!</v>
      </c>
    </row>
    <row r="14" spans="2:52" x14ac:dyDescent="0.35">
      <c r="B14" s="3">
        <f t="shared" si="24"/>
        <v>8</v>
      </c>
      <c r="C14" s="3" t="s">
        <v>21</v>
      </c>
      <c r="D14" s="49">
        <v>0</v>
      </c>
      <c r="E14" s="7">
        <v>0</v>
      </c>
      <c r="F14" s="11" t="e">
        <f t="shared" ref="F14:F22" si="25">D14/$D$24</f>
        <v>#DIV/0!</v>
      </c>
      <c r="G14" s="11" t="e">
        <f t="shared" ref="G14:G22" si="26">E14/$E$24</f>
        <v>#DIV/0!</v>
      </c>
      <c r="H14" s="49">
        <v>0</v>
      </c>
      <c r="I14" s="7">
        <v>0</v>
      </c>
      <c r="J14" s="11" t="e">
        <f t="shared" ref="J14:J22" si="27">H14/$H$24</f>
        <v>#DIV/0!</v>
      </c>
      <c r="K14" s="11" t="e">
        <f t="shared" ref="K14:K22" si="28">I14/$I$24</f>
        <v>#DIV/0!</v>
      </c>
      <c r="L14" s="49">
        <v>0</v>
      </c>
      <c r="M14" s="7">
        <v>0</v>
      </c>
      <c r="N14" s="11" t="e">
        <f t="shared" ref="N14:N22" si="29">L14/$L$24</f>
        <v>#DIV/0!</v>
      </c>
      <c r="O14" s="11" t="e">
        <f t="shared" ref="O14:O22" si="30">M14/$M$24</f>
        <v>#DIV/0!</v>
      </c>
      <c r="P14" s="49">
        <v>0</v>
      </c>
      <c r="Q14" s="7">
        <v>0</v>
      </c>
      <c r="R14" s="11" t="e">
        <f t="shared" ref="R14:R22" si="31">P14/$P$24</f>
        <v>#DIV/0!</v>
      </c>
      <c r="S14" s="11" t="e">
        <f t="shared" ref="S14:S22" si="32">Q14/$Q$24</f>
        <v>#DIV/0!</v>
      </c>
      <c r="T14" s="49">
        <v>0</v>
      </c>
      <c r="U14" s="7">
        <v>0</v>
      </c>
      <c r="V14" s="11" t="e">
        <f t="shared" ref="V14:V22" si="33">T14/$T$24</f>
        <v>#DIV/0!</v>
      </c>
      <c r="W14" s="11" t="e">
        <f t="shared" ref="W14:W22" si="34">U14/$U$24</f>
        <v>#DIV/0!</v>
      </c>
      <c r="X14" s="49">
        <v>0</v>
      </c>
      <c r="Y14" s="7">
        <v>0</v>
      </c>
      <c r="Z14" s="11" t="e">
        <f t="shared" ref="Z14:Z22" si="35">X14/$X$24</f>
        <v>#DIV/0!</v>
      </c>
      <c r="AA14" s="11" t="e">
        <f t="shared" ref="AA14:AA22" si="36">Y14/$Y$24</f>
        <v>#DIV/0!</v>
      </c>
      <c r="AB14" s="49">
        <v>0</v>
      </c>
      <c r="AC14" s="7">
        <v>0</v>
      </c>
      <c r="AD14" s="11" t="e">
        <f t="shared" ref="AD14:AD22" si="37">AB14/$AB$24</f>
        <v>#DIV/0!</v>
      </c>
      <c r="AE14" s="11" t="e">
        <f t="shared" ref="AE14:AE22" si="38">AC14/$AC$24</f>
        <v>#DIV/0!</v>
      </c>
      <c r="AF14" s="49">
        <v>0</v>
      </c>
      <c r="AG14" s="7">
        <v>0</v>
      </c>
      <c r="AH14" s="11" t="e">
        <f t="shared" ref="AH14:AH22" si="39">AF14/$AF$24</f>
        <v>#DIV/0!</v>
      </c>
      <c r="AI14" s="11" t="e">
        <f t="shared" ref="AI14:AI22" si="40">AG14/$AG$24</f>
        <v>#DIV/0!</v>
      </c>
      <c r="AJ14" s="49">
        <v>0</v>
      </c>
      <c r="AK14" s="7">
        <v>0</v>
      </c>
      <c r="AL14" s="11" t="e">
        <f t="shared" ref="AL14:AL22" si="41">AJ14/$AJ$24</f>
        <v>#DIV/0!</v>
      </c>
      <c r="AM14" s="11" t="e">
        <f t="shared" ref="AM14:AM22" si="42">AK14/$AK$24</f>
        <v>#DIV/0!</v>
      </c>
      <c r="AN14" s="15">
        <v>0</v>
      </c>
      <c r="AO14" s="7">
        <v>0</v>
      </c>
      <c r="AP14" s="11" t="e">
        <f t="shared" ref="AP14:AP22" si="43">AN14/$AN$24</f>
        <v>#DIV/0!</v>
      </c>
      <c r="AQ14" s="11" t="e">
        <f t="shared" ref="AQ14:AQ22" si="44">AO14/$AO$24</f>
        <v>#DIV/0!</v>
      </c>
      <c r="AR14" s="15">
        <v>0</v>
      </c>
      <c r="AS14" s="7">
        <v>0</v>
      </c>
      <c r="AT14" s="11" t="e">
        <f t="shared" ref="AT14:AT22" si="45">AR14/$AR$24</f>
        <v>#DIV/0!</v>
      </c>
      <c r="AU14" s="11" t="e">
        <f t="shared" ref="AU14:AU22" si="46">AS14/$AS$24</f>
        <v>#DIV/0!</v>
      </c>
      <c r="AV14" s="15">
        <v>0</v>
      </c>
      <c r="AW14" s="7">
        <v>0</v>
      </c>
      <c r="AX14" s="11" t="e">
        <f t="shared" ref="AX14:AX22" si="47">AV14/$AF$24</f>
        <v>#DIV/0!</v>
      </c>
      <c r="AY14" s="11" t="e">
        <f t="shared" ref="AY14:AY22" si="48">AW14/$AG$24</f>
        <v>#DIV/0!</v>
      </c>
    </row>
    <row r="15" spans="2:52" x14ac:dyDescent="0.35">
      <c r="B15" s="3">
        <f t="shared" si="24"/>
        <v>9</v>
      </c>
      <c r="C15" s="3" t="s">
        <v>22</v>
      </c>
      <c r="D15" s="49">
        <v>0</v>
      </c>
      <c r="E15" s="7">
        <v>0</v>
      </c>
      <c r="F15" s="11" t="e">
        <f t="shared" si="25"/>
        <v>#DIV/0!</v>
      </c>
      <c r="G15" s="11" t="e">
        <f t="shared" si="26"/>
        <v>#DIV/0!</v>
      </c>
      <c r="H15" s="49">
        <v>0</v>
      </c>
      <c r="I15" s="7">
        <v>0</v>
      </c>
      <c r="J15" s="11" t="e">
        <f t="shared" si="27"/>
        <v>#DIV/0!</v>
      </c>
      <c r="K15" s="11" t="e">
        <f t="shared" si="28"/>
        <v>#DIV/0!</v>
      </c>
      <c r="L15" s="49">
        <v>0</v>
      </c>
      <c r="M15" s="7">
        <v>0</v>
      </c>
      <c r="N15" s="11" t="e">
        <f t="shared" si="29"/>
        <v>#DIV/0!</v>
      </c>
      <c r="O15" s="11" t="e">
        <f t="shared" si="30"/>
        <v>#DIV/0!</v>
      </c>
      <c r="P15" s="49">
        <v>0</v>
      </c>
      <c r="Q15" s="7">
        <v>0</v>
      </c>
      <c r="R15" s="11" t="e">
        <f t="shared" si="31"/>
        <v>#DIV/0!</v>
      </c>
      <c r="S15" s="11" t="e">
        <f t="shared" si="32"/>
        <v>#DIV/0!</v>
      </c>
      <c r="T15" s="49">
        <v>0</v>
      </c>
      <c r="U15" s="7">
        <v>0</v>
      </c>
      <c r="V15" s="11" t="e">
        <f t="shared" si="33"/>
        <v>#DIV/0!</v>
      </c>
      <c r="W15" s="11" t="e">
        <f t="shared" si="34"/>
        <v>#DIV/0!</v>
      </c>
      <c r="X15" s="49">
        <v>0</v>
      </c>
      <c r="Y15" s="7">
        <v>0</v>
      </c>
      <c r="Z15" s="11" t="e">
        <f t="shared" si="35"/>
        <v>#DIV/0!</v>
      </c>
      <c r="AA15" s="11" t="e">
        <f t="shared" si="36"/>
        <v>#DIV/0!</v>
      </c>
      <c r="AB15" s="49">
        <v>0</v>
      </c>
      <c r="AC15" s="7">
        <v>0</v>
      </c>
      <c r="AD15" s="11" t="e">
        <f t="shared" si="37"/>
        <v>#DIV/0!</v>
      </c>
      <c r="AE15" s="11" t="e">
        <f t="shared" si="38"/>
        <v>#DIV/0!</v>
      </c>
      <c r="AF15" s="49">
        <v>0</v>
      </c>
      <c r="AG15" s="7">
        <v>0</v>
      </c>
      <c r="AH15" s="11" t="e">
        <f t="shared" si="39"/>
        <v>#DIV/0!</v>
      </c>
      <c r="AI15" s="11" t="e">
        <f t="shared" si="40"/>
        <v>#DIV/0!</v>
      </c>
      <c r="AJ15" s="49">
        <v>0</v>
      </c>
      <c r="AK15" s="7">
        <v>0</v>
      </c>
      <c r="AL15" s="11" t="e">
        <f t="shared" si="41"/>
        <v>#DIV/0!</v>
      </c>
      <c r="AM15" s="11" t="e">
        <f t="shared" si="42"/>
        <v>#DIV/0!</v>
      </c>
      <c r="AN15" s="15">
        <v>0</v>
      </c>
      <c r="AO15" s="7">
        <v>0</v>
      </c>
      <c r="AP15" s="11" t="e">
        <f t="shared" si="43"/>
        <v>#DIV/0!</v>
      </c>
      <c r="AQ15" s="11" t="e">
        <f t="shared" si="44"/>
        <v>#DIV/0!</v>
      </c>
      <c r="AR15" s="15">
        <v>0</v>
      </c>
      <c r="AS15" s="7">
        <v>0</v>
      </c>
      <c r="AT15" s="11" t="e">
        <f t="shared" si="45"/>
        <v>#DIV/0!</v>
      </c>
      <c r="AU15" s="11" t="e">
        <f t="shared" si="46"/>
        <v>#DIV/0!</v>
      </c>
      <c r="AV15" s="15">
        <v>0</v>
      </c>
      <c r="AW15" s="7">
        <v>0</v>
      </c>
      <c r="AX15" s="11" t="e">
        <f t="shared" si="47"/>
        <v>#DIV/0!</v>
      </c>
      <c r="AY15" s="11" t="e">
        <f t="shared" si="48"/>
        <v>#DIV/0!</v>
      </c>
    </row>
    <row r="16" spans="2:52" x14ac:dyDescent="0.35">
      <c r="B16" s="3">
        <f t="shared" si="24"/>
        <v>10</v>
      </c>
      <c r="C16" s="3" t="s">
        <v>29</v>
      </c>
      <c r="D16" s="49">
        <v>0</v>
      </c>
      <c r="E16" s="7">
        <v>0</v>
      </c>
      <c r="F16" s="11" t="e">
        <f t="shared" si="25"/>
        <v>#DIV/0!</v>
      </c>
      <c r="G16" s="11" t="e">
        <f t="shared" si="26"/>
        <v>#DIV/0!</v>
      </c>
      <c r="H16" s="49">
        <v>0</v>
      </c>
      <c r="I16" s="7">
        <v>0</v>
      </c>
      <c r="J16" s="11" t="e">
        <f t="shared" si="27"/>
        <v>#DIV/0!</v>
      </c>
      <c r="K16" s="11" t="e">
        <f t="shared" si="28"/>
        <v>#DIV/0!</v>
      </c>
      <c r="L16" s="49">
        <v>0</v>
      </c>
      <c r="M16" s="7">
        <v>0</v>
      </c>
      <c r="N16" s="11" t="e">
        <f t="shared" si="29"/>
        <v>#DIV/0!</v>
      </c>
      <c r="O16" s="11" t="e">
        <f t="shared" si="30"/>
        <v>#DIV/0!</v>
      </c>
      <c r="P16" s="49">
        <v>0</v>
      </c>
      <c r="Q16" s="7">
        <v>0</v>
      </c>
      <c r="R16" s="11" t="e">
        <f t="shared" si="31"/>
        <v>#DIV/0!</v>
      </c>
      <c r="S16" s="11" t="e">
        <f t="shared" si="32"/>
        <v>#DIV/0!</v>
      </c>
      <c r="T16" s="49">
        <v>0</v>
      </c>
      <c r="U16" s="7">
        <v>0</v>
      </c>
      <c r="V16" s="11" t="e">
        <f t="shared" si="33"/>
        <v>#DIV/0!</v>
      </c>
      <c r="W16" s="11" t="e">
        <f t="shared" si="34"/>
        <v>#DIV/0!</v>
      </c>
      <c r="X16" s="49">
        <v>0</v>
      </c>
      <c r="Y16" s="7">
        <v>0</v>
      </c>
      <c r="Z16" s="11" t="e">
        <f t="shared" si="35"/>
        <v>#DIV/0!</v>
      </c>
      <c r="AA16" s="11" t="e">
        <f t="shared" si="36"/>
        <v>#DIV/0!</v>
      </c>
      <c r="AB16" s="49">
        <v>0</v>
      </c>
      <c r="AC16" s="7">
        <v>0</v>
      </c>
      <c r="AD16" s="11" t="e">
        <f t="shared" si="37"/>
        <v>#DIV/0!</v>
      </c>
      <c r="AE16" s="11" t="e">
        <f t="shared" si="38"/>
        <v>#DIV/0!</v>
      </c>
      <c r="AF16" s="49">
        <v>0</v>
      </c>
      <c r="AG16" s="7">
        <v>0</v>
      </c>
      <c r="AH16" s="11" t="e">
        <f t="shared" si="39"/>
        <v>#DIV/0!</v>
      </c>
      <c r="AI16" s="11" t="e">
        <f t="shared" si="40"/>
        <v>#DIV/0!</v>
      </c>
      <c r="AJ16" s="49">
        <v>0</v>
      </c>
      <c r="AK16" s="7">
        <v>0</v>
      </c>
      <c r="AL16" s="11" t="e">
        <f t="shared" si="41"/>
        <v>#DIV/0!</v>
      </c>
      <c r="AM16" s="11" t="e">
        <f t="shared" si="42"/>
        <v>#DIV/0!</v>
      </c>
      <c r="AN16" s="15">
        <v>0</v>
      </c>
      <c r="AO16" s="7">
        <v>0</v>
      </c>
      <c r="AP16" s="11" t="e">
        <f t="shared" si="43"/>
        <v>#DIV/0!</v>
      </c>
      <c r="AQ16" s="11" t="e">
        <f t="shared" si="44"/>
        <v>#DIV/0!</v>
      </c>
      <c r="AR16" s="15">
        <v>0</v>
      </c>
      <c r="AS16" s="7">
        <v>0</v>
      </c>
      <c r="AT16" s="11" t="e">
        <f t="shared" si="45"/>
        <v>#DIV/0!</v>
      </c>
      <c r="AU16" s="11" t="e">
        <f t="shared" si="46"/>
        <v>#DIV/0!</v>
      </c>
      <c r="AV16" s="15">
        <v>0</v>
      </c>
      <c r="AW16" s="7">
        <v>0</v>
      </c>
      <c r="AX16" s="11" t="e">
        <f t="shared" si="47"/>
        <v>#DIV/0!</v>
      </c>
      <c r="AY16" s="11" t="e">
        <f t="shared" si="48"/>
        <v>#DIV/0!</v>
      </c>
    </row>
    <row r="17" spans="2:53" x14ac:dyDescent="0.35">
      <c r="B17" s="3">
        <f t="shared" si="24"/>
        <v>11</v>
      </c>
      <c r="C17" s="3" t="s">
        <v>53</v>
      </c>
      <c r="D17" s="49">
        <v>0</v>
      </c>
      <c r="E17" s="7">
        <v>0</v>
      </c>
      <c r="F17" s="11" t="e">
        <f t="shared" si="25"/>
        <v>#DIV/0!</v>
      </c>
      <c r="G17" s="11" t="e">
        <f t="shared" si="26"/>
        <v>#DIV/0!</v>
      </c>
      <c r="H17" s="49">
        <v>0</v>
      </c>
      <c r="I17" s="7">
        <v>0</v>
      </c>
      <c r="J17" s="11" t="e">
        <f t="shared" si="27"/>
        <v>#DIV/0!</v>
      </c>
      <c r="K17" s="11" t="e">
        <f t="shared" si="28"/>
        <v>#DIV/0!</v>
      </c>
      <c r="L17" s="49">
        <v>0</v>
      </c>
      <c r="M17" s="7">
        <v>0</v>
      </c>
      <c r="N17" s="11" t="e">
        <f t="shared" si="29"/>
        <v>#DIV/0!</v>
      </c>
      <c r="O17" s="11" t="e">
        <f t="shared" si="30"/>
        <v>#DIV/0!</v>
      </c>
      <c r="P17" s="49">
        <v>0</v>
      </c>
      <c r="Q17" s="7">
        <v>0</v>
      </c>
      <c r="R17" s="11" t="e">
        <f t="shared" si="31"/>
        <v>#DIV/0!</v>
      </c>
      <c r="S17" s="11" t="e">
        <f t="shared" si="32"/>
        <v>#DIV/0!</v>
      </c>
      <c r="T17" s="49">
        <v>0</v>
      </c>
      <c r="U17" s="7">
        <v>0</v>
      </c>
      <c r="V17" s="11" t="e">
        <f t="shared" si="33"/>
        <v>#DIV/0!</v>
      </c>
      <c r="W17" s="11" t="e">
        <f t="shared" si="34"/>
        <v>#DIV/0!</v>
      </c>
      <c r="X17" s="49">
        <v>0</v>
      </c>
      <c r="Y17" s="7">
        <v>0</v>
      </c>
      <c r="Z17" s="11" t="e">
        <f t="shared" si="35"/>
        <v>#DIV/0!</v>
      </c>
      <c r="AA17" s="11" t="e">
        <f t="shared" si="36"/>
        <v>#DIV/0!</v>
      </c>
      <c r="AB17" s="49">
        <v>0</v>
      </c>
      <c r="AC17" s="7">
        <v>0</v>
      </c>
      <c r="AD17" s="11" t="e">
        <f t="shared" si="37"/>
        <v>#DIV/0!</v>
      </c>
      <c r="AE17" s="11" t="e">
        <f t="shared" si="38"/>
        <v>#DIV/0!</v>
      </c>
      <c r="AF17" s="49">
        <v>0</v>
      </c>
      <c r="AG17" s="7">
        <v>0</v>
      </c>
      <c r="AH17" s="11" t="e">
        <f t="shared" si="39"/>
        <v>#DIV/0!</v>
      </c>
      <c r="AI17" s="11" t="e">
        <f t="shared" si="40"/>
        <v>#DIV/0!</v>
      </c>
      <c r="AJ17" s="49">
        <v>0</v>
      </c>
      <c r="AK17" s="7">
        <v>0</v>
      </c>
      <c r="AL17" s="11" t="e">
        <f t="shared" si="41"/>
        <v>#DIV/0!</v>
      </c>
      <c r="AM17" s="11" t="e">
        <f t="shared" si="42"/>
        <v>#DIV/0!</v>
      </c>
      <c r="AN17" s="15">
        <v>0</v>
      </c>
      <c r="AO17" s="7">
        <v>0</v>
      </c>
      <c r="AP17" s="11" t="e">
        <f t="shared" si="43"/>
        <v>#DIV/0!</v>
      </c>
      <c r="AQ17" s="11" t="e">
        <f t="shared" si="44"/>
        <v>#DIV/0!</v>
      </c>
      <c r="AR17" s="15">
        <v>0</v>
      </c>
      <c r="AS17" s="7">
        <v>0</v>
      </c>
      <c r="AT17" s="11" t="e">
        <f t="shared" si="45"/>
        <v>#DIV/0!</v>
      </c>
      <c r="AU17" s="11" t="e">
        <f t="shared" si="46"/>
        <v>#DIV/0!</v>
      </c>
      <c r="AV17" s="15">
        <v>0</v>
      </c>
      <c r="AW17" s="7">
        <v>0</v>
      </c>
      <c r="AX17" s="11" t="e">
        <f t="shared" si="47"/>
        <v>#DIV/0!</v>
      </c>
      <c r="AY17" s="11" t="e">
        <f t="shared" si="48"/>
        <v>#DIV/0!</v>
      </c>
    </row>
    <row r="18" spans="2:53" x14ac:dyDescent="0.35">
      <c r="B18" s="3">
        <f t="shared" si="24"/>
        <v>12</v>
      </c>
      <c r="C18" s="3" t="s">
        <v>54</v>
      </c>
      <c r="D18" s="49">
        <v>0</v>
      </c>
      <c r="E18" s="7">
        <v>0</v>
      </c>
      <c r="F18" s="11" t="e">
        <f t="shared" si="25"/>
        <v>#DIV/0!</v>
      </c>
      <c r="G18" s="11" t="e">
        <f t="shared" si="26"/>
        <v>#DIV/0!</v>
      </c>
      <c r="H18" s="49">
        <v>0</v>
      </c>
      <c r="I18" s="7">
        <v>0</v>
      </c>
      <c r="J18" s="11" t="e">
        <f t="shared" si="27"/>
        <v>#DIV/0!</v>
      </c>
      <c r="K18" s="11" t="e">
        <f t="shared" si="28"/>
        <v>#DIV/0!</v>
      </c>
      <c r="L18" s="49">
        <v>0</v>
      </c>
      <c r="M18" s="7">
        <v>0</v>
      </c>
      <c r="N18" s="11" t="e">
        <f t="shared" si="29"/>
        <v>#DIV/0!</v>
      </c>
      <c r="O18" s="11" t="e">
        <f t="shared" si="30"/>
        <v>#DIV/0!</v>
      </c>
      <c r="P18" s="49">
        <v>0</v>
      </c>
      <c r="Q18" s="7">
        <v>0</v>
      </c>
      <c r="R18" s="11" t="e">
        <f t="shared" si="31"/>
        <v>#DIV/0!</v>
      </c>
      <c r="S18" s="11" t="e">
        <f t="shared" si="32"/>
        <v>#DIV/0!</v>
      </c>
      <c r="T18" s="49">
        <v>0</v>
      </c>
      <c r="U18" s="7">
        <v>0</v>
      </c>
      <c r="V18" s="11" t="e">
        <f t="shared" si="33"/>
        <v>#DIV/0!</v>
      </c>
      <c r="W18" s="11" t="e">
        <f t="shared" si="34"/>
        <v>#DIV/0!</v>
      </c>
      <c r="X18" s="49">
        <v>0</v>
      </c>
      <c r="Y18" s="7">
        <v>0</v>
      </c>
      <c r="Z18" s="11" t="e">
        <f t="shared" si="35"/>
        <v>#DIV/0!</v>
      </c>
      <c r="AA18" s="11" t="e">
        <f t="shared" si="36"/>
        <v>#DIV/0!</v>
      </c>
      <c r="AB18" s="49">
        <v>0</v>
      </c>
      <c r="AC18" s="7">
        <v>0</v>
      </c>
      <c r="AD18" s="11" t="e">
        <f t="shared" si="37"/>
        <v>#DIV/0!</v>
      </c>
      <c r="AE18" s="11" t="e">
        <f t="shared" si="38"/>
        <v>#DIV/0!</v>
      </c>
      <c r="AF18" s="49">
        <v>0</v>
      </c>
      <c r="AG18" s="7">
        <v>0</v>
      </c>
      <c r="AH18" s="11" t="e">
        <f t="shared" si="39"/>
        <v>#DIV/0!</v>
      </c>
      <c r="AI18" s="11" t="e">
        <f t="shared" si="40"/>
        <v>#DIV/0!</v>
      </c>
      <c r="AJ18" s="49">
        <v>0</v>
      </c>
      <c r="AK18" s="7">
        <v>0</v>
      </c>
      <c r="AL18" s="11" t="e">
        <f t="shared" si="41"/>
        <v>#DIV/0!</v>
      </c>
      <c r="AM18" s="11" t="e">
        <f t="shared" si="42"/>
        <v>#DIV/0!</v>
      </c>
      <c r="AN18" s="15">
        <v>0</v>
      </c>
      <c r="AO18" s="7">
        <v>0</v>
      </c>
      <c r="AP18" s="11" t="e">
        <f t="shared" si="43"/>
        <v>#DIV/0!</v>
      </c>
      <c r="AQ18" s="11" t="e">
        <f t="shared" si="44"/>
        <v>#DIV/0!</v>
      </c>
      <c r="AR18" s="15">
        <v>0</v>
      </c>
      <c r="AS18" s="7">
        <v>0</v>
      </c>
      <c r="AT18" s="11" t="e">
        <f t="shared" si="45"/>
        <v>#DIV/0!</v>
      </c>
      <c r="AU18" s="11" t="e">
        <f t="shared" si="46"/>
        <v>#DIV/0!</v>
      </c>
      <c r="AV18" s="15">
        <v>0</v>
      </c>
      <c r="AW18" s="7">
        <v>0</v>
      </c>
      <c r="AX18" s="11" t="e">
        <f t="shared" si="47"/>
        <v>#DIV/0!</v>
      </c>
      <c r="AY18" s="11" t="e">
        <f t="shared" si="48"/>
        <v>#DIV/0!</v>
      </c>
    </row>
    <row r="19" spans="2:53" x14ac:dyDescent="0.35">
      <c r="B19" s="3">
        <f t="shared" si="24"/>
        <v>13</v>
      </c>
      <c r="C19" s="3" t="s">
        <v>23</v>
      </c>
      <c r="D19" s="49">
        <v>0</v>
      </c>
      <c r="E19" s="7"/>
      <c r="F19" s="11" t="e">
        <f t="shared" si="25"/>
        <v>#DIV/0!</v>
      </c>
      <c r="G19" s="11" t="e">
        <f t="shared" si="26"/>
        <v>#DIV/0!</v>
      </c>
      <c r="H19" s="49">
        <v>0</v>
      </c>
      <c r="I19" s="7">
        <v>0</v>
      </c>
      <c r="J19" s="11" t="e">
        <f t="shared" si="27"/>
        <v>#DIV/0!</v>
      </c>
      <c r="K19" s="11" t="e">
        <f t="shared" si="28"/>
        <v>#DIV/0!</v>
      </c>
      <c r="L19" s="49">
        <v>0</v>
      </c>
      <c r="M19" s="7">
        <v>0</v>
      </c>
      <c r="N19" s="11" t="e">
        <f t="shared" si="29"/>
        <v>#DIV/0!</v>
      </c>
      <c r="O19" s="11" t="e">
        <f t="shared" si="30"/>
        <v>#DIV/0!</v>
      </c>
      <c r="P19" s="49">
        <v>0</v>
      </c>
      <c r="Q19" s="7">
        <v>0</v>
      </c>
      <c r="R19" s="11" t="e">
        <f t="shared" si="31"/>
        <v>#DIV/0!</v>
      </c>
      <c r="S19" s="11" t="e">
        <f t="shared" si="32"/>
        <v>#DIV/0!</v>
      </c>
      <c r="T19" s="49">
        <v>0</v>
      </c>
      <c r="U19" s="7">
        <v>0</v>
      </c>
      <c r="V19" s="11" t="e">
        <f t="shared" si="33"/>
        <v>#DIV/0!</v>
      </c>
      <c r="W19" s="11" t="e">
        <f t="shared" si="34"/>
        <v>#DIV/0!</v>
      </c>
      <c r="X19" s="49">
        <v>0</v>
      </c>
      <c r="Y19" s="7">
        <v>0</v>
      </c>
      <c r="Z19" s="11" t="e">
        <f t="shared" si="35"/>
        <v>#DIV/0!</v>
      </c>
      <c r="AA19" s="11" t="e">
        <f t="shared" si="36"/>
        <v>#DIV/0!</v>
      </c>
      <c r="AB19" s="49">
        <v>0</v>
      </c>
      <c r="AC19" s="7">
        <v>0</v>
      </c>
      <c r="AD19" s="11" t="e">
        <f t="shared" si="37"/>
        <v>#DIV/0!</v>
      </c>
      <c r="AE19" s="11" t="e">
        <f t="shared" si="38"/>
        <v>#DIV/0!</v>
      </c>
      <c r="AF19" s="49">
        <v>0</v>
      </c>
      <c r="AG19" s="7">
        <v>0</v>
      </c>
      <c r="AH19" s="11" t="e">
        <f t="shared" si="39"/>
        <v>#DIV/0!</v>
      </c>
      <c r="AI19" s="11" t="e">
        <f t="shared" si="40"/>
        <v>#DIV/0!</v>
      </c>
      <c r="AJ19" s="49">
        <v>0</v>
      </c>
      <c r="AK19" s="7">
        <v>0</v>
      </c>
      <c r="AL19" s="11" t="e">
        <f t="shared" si="41"/>
        <v>#DIV/0!</v>
      </c>
      <c r="AM19" s="11" t="e">
        <f t="shared" si="42"/>
        <v>#DIV/0!</v>
      </c>
      <c r="AN19" s="15">
        <v>0</v>
      </c>
      <c r="AO19" s="7">
        <v>0</v>
      </c>
      <c r="AP19" s="11" t="e">
        <f t="shared" si="43"/>
        <v>#DIV/0!</v>
      </c>
      <c r="AQ19" s="11" t="e">
        <f t="shared" si="44"/>
        <v>#DIV/0!</v>
      </c>
      <c r="AR19" s="15">
        <v>0</v>
      </c>
      <c r="AS19" s="7">
        <v>0</v>
      </c>
      <c r="AT19" s="11" t="e">
        <f t="shared" si="45"/>
        <v>#DIV/0!</v>
      </c>
      <c r="AU19" s="11" t="e">
        <f t="shared" si="46"/>
        <v>#DIV/0!</v>
      </c>
      <c r="AV19" s="15">
        <v>0</v>
      </c>
      <c r="AW19" s="7">
        <v>0</v>
      </c>
      <c r="AX19" s="11" t="e">
        <f t="shared" si="47"/>
        <v>#DIV/0!</v>
      </c>
      <c r="AY19" s="11" t="e">
        <f t="shared" si="48"/>
        <v>#DIV/0!</v>
      </c>
    </row>
    <row r="20" spans="2:53" x14ac:dyDescent="0.35">
      <c r="B20" s="3">
        <f t="shared" si="24"/>
        <v>14</v>
      </c>
      <c r="C20" s="3" t="s">
        <v>24</v>
      </c>
      <c r="D20" s="49">
        <v>0</v>
      </c>
      <c r="E20" s="7"/>
      <c r="F20" s="11" t="e">
        <f t="shared" si="25"/>
        <v>#DIV/0!</v>
      </c>
      <c r="G20" s="11" t="e">
        <f t="shared" si="26"/>
        <v>#DIV/0!</v>
      </c>
      <c r="H20" s="49">
        <v>0</v>
      </c>
      <c r="I20" s="7">
        <v>0</v>
      </c>
      <c r="J20" s="11" t="e">
        <f t="shared" si="27"/>
        <v>#DIV/0!</v>
      </c>
      <c r="K20" s="11" t="e">
        <f t="shared" si="28"/>
        <v>#DIV/0!</v>
      </c>
      <c r="L20" s="49">
        <v>0</v>
      </c>
      <c r="M20" s="7">
        <v>0</v>
      </c>
      <c r="N20" s="11" t="e">
        <f t="shared" si="29"/>
        <v>#DIV/0!</v>
      </c>
      <c r="O20" s="11" t="e">
        <f t="shared" si="30"/>
        <v>#DIV/0!</v>
      </c>
      <c r="P20" s="49">
        <v>0</v>
      </c>
      <c r="Q20" s="7">
        <v>0</v>
      </c>
      <c r="R20" s="11" t="e">
        <f t="shared" si="31"/>
        <v>#DIV/0!</v>
      </c>
      <c r="S20" s="11" t="e">
        <f t="shared" si="32"/>
        <v>#DIV/0!</v>
      </c>
      <c r="T20" s="49">
        <v>0</v>
      </c>
      <c r="U20" s="7">
        <v>0</v>
      </c>
      <c r="V20" s="11" t="e">
        <f t="shared" si="33"/>
        <v>#DIV/0!</v>
      </c>
      <c r="W20" s="11" t="e">
        <f t="shared" si="34"/>
        <v>#DIV/0!</v>
      </c>
      <c r="X20" s="49">
        <v>0</v>
      </c>
      <c r="Y20" s="7">
        <v>0</v>
      </c>
      <c r="Z20" s="11" t="e">
        <f t="shared" si="35"/>
        <v>#DIV/0!</v>
      </c>
      <c r="AA20" s="11" t="e">
        <f t="shared" si="36"/>
        <v>#DIV/0!</v>
      </c>
      <c r="AB20" s="49">
        <v>0</v>
      </c>
      <c r="AC20" s="7">
        <v>0</v>
      </c>
      <c r="AD20" s="11" t="e">
        <f t="shared" si="37"/>
        <v>#DIV/0!</v>
      </c>
      <c r="AE20" s="11" t="e">
        <f t="shared" si="38"/>
        <v>#DIV/0!</v>
      </c>
      <c r="AF20" s="49">
        <v>0</v>
      </c>
      <c r="AG20" s="7">
        <v>0</v>
      </c>
      <c r="AH20" s="11" t="e">
        <f t="shared" si="39"/>
        <v>#DIV/0!</v>
      </c>
      <c r="AI20" s="11" t="e">
        <f t="shared" si="40"/>
        <v>#DIV/0!</v>
      </c>
      <c r="AJ20" s="49">
        <v>0</v>
      </c>
      <c r="AK20" s="7">
        <v>0</v>
      </c>
      <c r="AL20" s="11" t="e">
        <f t="shared" si="41"/>
        <v>#DIV/0!</v>
      </c>
      <c r="AM20" s="11" t="e">
        <f t="shared" si="42"/>
        <v>#DIV/0!</v>
      </c>
      <c r="AN20" s="15">
        <v>0</v>
      </c>
      <c r="AO20" s="7">
        <v>0</v>
      </c>
      <c r="AP20" s="11" t="e">
        <f t="shared" si="43"/>
        <v>#DIV/0!</v>
      </c>
      <c r="AQ20" s="11" t="e">
        <f t="shared" si="44"/>
        <v>#DIV/0!</v>
      </c>
      <c r="AR20" s="15">
        <v>0</v>
      </c>
      <c r="AS20" s="7">
        <v>0</v>
      </c>
      <c r="AT20" s="11" t="e">
        <f t="shared" si="45"/>
        <v>#DIV/0!</v>
      </c>
      <c r="AU20" s="11" t="e">
        <f t="shared" si="46"/>
        <v>#DIV/0!</v>
      </c>
      <c r="AV20" s="15">
        <v>0</v>
      </c>
      <c r="AW20" s="7">
        <v>0</v>
      </c>
      <c r="AX20" s="11" t="e">
        <f t="shared" si="47"/>
        <v>#DIV/0!</v>
      </c>
      <c r="AY20" s="11" t="e">
        <f t="shared" si="48"/>
        <v>#DIV/0!</v>
      </c>
    </row>
    <row r="21" spans="2:53" x14ac:dyDescent="0.35">
      <c r="B21" s="3">
        <f t="shared" si="24"/>
        <v>15</v>
      </c>
      <c r="C21" s="3" t="s">
        <v>25</v>
      </c>
      <c r="D21" s="49">
        <v>0</v>
      </c>
      <c r="E21" s="7"/>
      <c r="F21" s="11" t="e">
        <f t="shared" si="25"/>
        <v>#DIV/0!</v>
      </c>
      <c r="G21" s="11" t="e">
        <f t="shared" si="26"/>
        <v>#DIV/0!</v>
      </c>
      <c r="H21" s="49">
        <v>0</v>
      </c>
      <c r="I21" s="7">
        <v>0</v>
      </c>
      <c r="J21" s="11" t="e">
        <f t="shared" si="27"/>
        <v>#DIV/0!</v>
      </c>
      <c r="K21" s="11" t="e">
        <f t="shared" si="28"/>
        <v>#DIV/0!</v>
      </c>
      <c r="L21" s="49">
        <v>0</v>
      </c>
      <c r="M21" s="7">
        <v>0</v>
      </c>
      <c r="N21" s="11" t="e">
        <f t="shared" si="29"/>
        <v>#DIV/0!</v>
      </c>
      <c r="O21" s="11" t="e">
        <f t="shared" si="30"/>
        <v>#DIV/0!</v>
      </c>
      <c r="P21" s="49">
        <v>0</v>
      </c>
      <c r="Q21" s="7">
        <v>0</v>
      </c>
      <c r="R21" s="11" t="e">
        <f t="shared" si="31"/>
        <v>#DIV/0!</v>
      </c>
      <c r="S21" s="11" t="e">
        <f t="shared" si="32"/>
        <v>#DIV/0!</v>
      </c>
      <c r="T21" s="49">
        <v>0</v>
      </c>
      <c r="U21" s="7">
        <v>0</v>
      </c>
      <c r="V21" s="11" t="e">
        <f t="shared" si="33"/>
        <v>#DIV/0!</v>
      </c>
      <c r="W21" s="11" t="e">
        <f t="shared" si="34"/>
        <v>#DIV/0!</v>
      </c>
      <c r="X21" s="49">
        <v>0</v>
      </c>
      <c r="Y21" s="7">
        <v>0</v>
      </c>
      <c r="Z21" s="11" t="e">
        <f t="shared" si="35"/>
        <v>#DIV/0!</v>
      </c>
      <c r="AA21" s="11" t="e">
        <f t="shared" si="36"/>
        <v>#DIV/0!</v>
      </c>
      <c r="AB21" s="49">
        <v>0</v>
      </c>
      <c r="AC21" s="7">
        <v>0</v>
      </c>
      <c r="AD21" s="11" t="e">
        <f t="shared" si="37"/>
        <v>#DIV/0!</v>
      </c>
      <c r="AE21" s="11" t="e">
        <f t="shared" si="38"/>
        <v>#DIV/0!</v>
      </c>
      <c r="AF21" s="49">
        <v>0</v>
      </c>
      <c r="AG21" s="7">
        <v>0</v>
      </c>
      <c r="AH21" s="11" t="e">
        <f t="shared" si="39"/>
        <v>#DIV/0!</v>
      </c>
      <c r="AI21" s="11" t="e">
        <f t="shared" si="40"/>
        <v>#DIV/0!</v>
      </c>
      <c r="AJ21" s="49">
        <v>0</v>
      </c>
      <c r="AK21" s="7">
        <v>0</v>
      </c>
      <c r="AL21" s="11" t="e">
        <f t="shared" si="41"/>
        <v>#DIV/0!</v>
      </c>
      <c r="AM21" s="11" t="e">
        <f t="shared" si="42"/>
        <v>#DIV/0!</v>
      </c>
      <c r="AN21" s="15">
        <v>0</v>
      </c>
      <c r="AO21" s="7">
        <v>0</v>
      </c>
      <c r="AP21" s="11" t="e">
        <f t="shared" si="43"/>
        <v>#DIV/0!</v>
      </c>
      <c r="AQ21" s="11" t="e">
        <f t="shared" si="44"/>
        <v>#DIV/0!</v>
      </c>
      <c r="AR21" s="15">
        <v>0</v>
      </c>
      <c r="AS21" s="7">
        <v>0</v>
      </c>
      <c r="AT21" s="11" t="e">
        <f t="shared" si="45"/>
        <v>#DIV/0!</v>
      </c>
      <c r="AU21" s="11" t="e">
        <f t="shared" si="46"/>
        <v>#DIV/0!</v>
      </c>
      <c r="AV21" s="15">
        <v>0</v>
      </c>
      <c r="AW21" s="7">
        <v>0</v>
      </c>
      <c r="AX21" s="11" t="e">
        <f t="shared" si="47"/>
        <v>#DIV/0!</v>
      </c>
      <c r="AY21" s="11" t="e">
        <f t="shared" si="48"/>
        <v>#DIV/0!</v>
      </c>
    </row>
    <row r="22" spans="2:53" x14ac:dyDescent="0.35">
      <c r="B22" s="3">
        <f t="shared" si="24"/>
        <v>16</v>
      </c>
      <c r="C22" s="3" t="s">
        <v>26</v>
      </c>
      <c r="D22" s="49">
        <v>0</v>
      </c>
      <c r="E22" s="7">
        <v>0</v>
      </c>
      <c r="F22" s="11" t="e">
        <f t="shared" si="25"/>
        <v>#DIV/0!</v>
      </c>
      <c r="G22" s="11" t="e">
        <f t="shared" si="26"/>
        <v>#DIV/0!</v>
      </c>
      <c r="H22" s="49">
        <v>0</v>
      </c>
      <c r="I22" s="7">
        <v>0</v>
      </c>
      <c r="J22" s="11" t="e">
        <f t="shared" si="27"/>
        <v>#DIV/0!</v>
      </c>
      <c r="K22" s="11" t="e">
        <f t="shared" si="28"/>
        <v>#DIV/0!</v>
      </c>
      <c r="L22" s="49">
        <v>0</v>
      </c>
      <c r="M22" s="7">
        <v>0</v>
      </c>
      <c r="N22" s="11" t="e">
        <f t="shared" si="29"/>
        <v>#DIV/0!</v>
      </c>
      <c r="O22" s="11" t="e">
        <f t="shared" si="30"/>
        <v>#DIV/0!</v>
      </c>
      <c r="P22" s="49">
        <v>0</v>
      </c>
      <c r="Q22" s="7">
        <v>0</v>
      </c>
      <c r="R22" s="11" t="e">
        <f t="shared" si="31"/>
        <v>#DIV/0!</v>
      </c>
      <c r="S22" s="11" t="e">
        <f t="shared" si="32"/>
        <v>#DIV/0!</v>
      </c>
      <c r="T22" s="49">
        <v>0</v>
      </c>
      <c r="U22" s="7">
        <v>0</v>
      </c>
      <c r="V22" s="11" t="e">
        <f t="shared" si="33"/>
        <v>#DIV/0!</v>
      </c>
      <c r="W22" s="11" t="e">
        <f t="shared" si="34"/>
        <v>#DIV/0!</v>
      </c>
      <c r="X22" s="49">
        <v>0</v>
      </c>
      <c r="Y22" s="7">
        <v>0</v>
      </c>
      <c r="Z22" s="11" t="e">
        <f t="shared" si="35"/>
        <v>#DIV/0!</v>
      </c>
      <c r="AA22" s="11" t="e">
        <f t="shared" si="36"/>
        <v>#DIV/0!</v>
      </c>
      <c r="AB22" s="49">
        <v>0</v>
      </c>
      <c r="AC22" s="7">
        <v>0</v>
      </c>
      <c r="AD22" s="11" t="e">
        <f t="shared" si="37"/>
        <v>#DIV/0!</v>
      </c>
      <c r="AE22" s="11" t="e">
        <f t="shared" si="38"/>
        <v>#DIV/0!</v>
      </c>
      <c r="AF22" s="49">
        <v>0</v>
      </c>
      <c r="AG22" s="7">
        <v>0</v>
      </c>
      <c r="AH22" s="11" t="e">
        <f t="shared" si="39"/>
        <v>#DIV/0!</v>
      </c>
      <c r="AI22" s="11" t="e">
        <f t="shared" si="40"/>
        <v>#DIV/0!</v>
      </c>
      <c r="AJ22" s="49">
        <v>0</v>
      </c>
      <c r="AK22" s="7">
        <v>0</v>
      </c>
      <c r="AL22" s="11" t="e">
        <f t="shared" si="41"/>
        <v>#DIV/0!</v>
      </c>
      <c r="AM22" s="11" t="e">
        <f t="shared" si="42"/>
        <v>#DIV/0!</v>
      </c>
      <c r="AN22" s="15">
        <v>0</v>
      </c>
      <c r="AO22" s="7">
        <v>0</v>
      </c>
      <c r="AP22" s="11" t="e">
        <f t="shared" si="43"/>
        <v>#DIV/0!</v>
      </c>
      <c r="AQ22" s="11" t="e">
        <f t="shared" si="44"/>
        <v>#DIV/0!</v>
      </c>
      <c r="AR22" s="15">
        <v>0</v>
      </c>
      <c r="AS22" s="7">
        <v>0</v>
      </c>
      <c r="AT22" s="11" t="e">
        <f t="shared" si="45"/>
        <v>#DIV/0!</v>
      </c>
      <c r="AU22" s="11" t="e">
        <f t="shared" si="46"/>
        <v>#DIV/0!</v>
      </c>
      <c r="AV22" s="15">
        <v>0</v>
      </c>
      <c r="AW22" s="7">
        <v>0</v>
      </c>
      <c r="AX22" s="11" t="e">
        <f t="shared" si="47"/>
        <v>#DIV/0!</v>
      </c>
      <c r="AY22" s="11" t="e">
        <f t="shared" si="48"/>
        <v>#DIV/0!</v>
      </c>
    </row>
    <row r="23" spans="2:53" x14ac:dyDescent="0.35">
      <c r="B23" s="18"/>
      <c r="C23" s="18"/>
      <c r="D23" s="54"/>
      <c r="E23" s="17"/>
      <c r="F23" s="34"/>
      <c r="G23" s="34"/>
      <c r="H23" s="54"/>
      <c r="I23" s="17"/>
      <c r="J23" s="34"/>
      <c r="K23" s="34"/>
      <c r="L23" s="54"/>
      <c r="M23" s="17"/>
      <c r="N23" s="34"/>
      <c r="O23" s="34"/>
      <c r="P23" s="54"/>
      <c r="Q23" s="17"/>
      <c r="R23" s="34"/>
      <c r="S23" s="34"/>
      <c r="T23" s="54"/>
      <c r="U23" s="17"/>
      <c r="V23" s="34"/>
      <c r="W23" s="34"/>
      <c r="X23" s="54"/>
      <c r="Y23" s="17"/>
      <c r="Z23" s="34"/>
      <c r="AA23" s="34"/>
      <c r="AB23" s="54"/>
      <c r="AC23" s="17"/>
      <c r="AD23" s="34"/>
      <c r="AE23" s="34"/>
      <c r="AF23" s="54"/>
      <c r="AG23" s="17"/>
      <c r="AH23" s="34"/>
      <c r="AI23" s="34"/>
      <c r="AJ23" s="54"/>
      <c r="AK23" s="17"/>
      <c r="AL23" s="34"/>
      <c r="AM23" s="34"/>
      <c r="AN23" s="33"/>
      <c r="AO23" s="17"/>
      <c r="AP23" s="34"/>
      <c r="AQ23" s="34"/>
      <c r="AR23" s="33"/>
      <c r="AS23" s="17"/>
      <c r="AT23" s="34"/>
      <c r="AU23" s="34"/>
      <c r="AV23" s="33"/>
      <c r="AW23" s="17"/>
      <c r="AX23" s="34"/>
      <c r="AY23" s="34"/>
    </row>
    <row r="24" spans="2:53" x14ac:dyDescent="0.35">
      <c r="B24" s="4"/>
      <c r="C24" s="4" t="s">
        <v>12</v>
      </c>
      <c r="D24" s="51">
        <f t="shared" ref="D24:AM24" si="49">SUM(D7:D22)</f>
        <v>0</v>
      </c>
      <c r="E24" s="5">
        <f t="shared" si="49"/>
        <v>0</v>
      </c>
      <c r="F24" s="10" t="e">
        <f t="shared" si="49"/>
        <v>#DIV/0!</v>
      </c>
      <c r="G24" s="10" t="e">
        <f t="shared" si="49"/>
        <v>#DIV/0!</v>
      </c>
      <c r="H24" s="51">
        <f t="shared" si="49"/>
        <v>0</v>
      </c>
      <c r="I24" s="5">
        <f t="shared" si="49"/>
        <v>0</v>
      </c>
      <c r="J24" s="10" t="e">
        <f t="shared" si="49"/>
        <v>#DIV/0!</v>
      </c>
      <c r="K24" s="10" t="e">
        <f t="shared" si="49"/>
        <v>#DIV/0!</v>
      </c>
      <c r="L24" s="51">
        <f t="shared" si="49"/>
        <v>0</v>
      </c>
      <c r="M24" s="5">
        <f t="shared" si="49"/>
        <v>0</v>
      </c>
      <c r="N24" s="10" t="e">
        <f t="shared" si="49"/>
        <v>#DIV/0!</v>
      </c>
      <c r="O24" s="10" t="e">
        <f t="shared" si="49"/>
        <v>#DIV/0!</v>
      </c>
      <c r="P24" s="51">
        <f t="shared" si="49"/>
        <v>0</v>
      </c>
      <c r="Q24" s="5">
        <f t="shared" si="49"/>
        <v>0</v>
      </c>
      <c r="R24" s="10" t="e">
        <f t="shared" si="49"/>
        <v>#DIV/0!</v>
      </c>
      <c r="S24" s="10" t="e">
        <f t="shared" si="49"/>
        <v>#DIV/0!</v>
      </c>
      <c r="T24" s="51">
        <f t="shared" si="49"/>
        <v>0</v>
      </c>
      <c r="U24" s="5">
        <f t="shared" si="49"/>
        <v>0</v>
      </c>
      <c r="V24" s="10" t="e">
        <f t="shared" si="49"/>
        <v>#DIV/0!</v>
      </c>
      <c r="W24" s="10" t="e">
        <f t="shared" si="49"/>
        <v>#DIV/0!</v>
      </c>
      <c r="X24" s="51">
        <f t="shared" si="49"/>
        <v>0</v>
      </c>
      <c r="Y24" s="5">
        <f t="shared" si="49"/>
        <v>0</v>
      </c>
      <c r="Z24" s="10" t="e">
        <f t="shared" si="49"/>
        <v>#DIV/0!</v>
      </c>
      <c r="AA24" s="10" t="e">
        <f t="shared" si="49"/>
        <v>#DIV/0!</v>
      </c>
      <c r="AB24" s="51">
        <f t="shared" si="49"/>
        <v>0</v>
      </c>
      <c r="AC24" s="5">
        <f t="shared" si="49"/>
        <v>0</v>
      </c>
      <c r="AD24" s="10" t="e">
        <f t="shared" si="49"/>
        <v>#DIV/0!</v>
      </c>
      <c r="AE24" s="10" t="e">
        <f t="shared" si="49"/>
        <v>#DIV/0!</v>
      </c>
      <c r="AF24" s="51">
        <f t="shared" si="49"/>
        <v>0</v>
      </c>
      <c r="AG24" s="5">
        <f t="shared" si="49"/>
        <v>0</v>
      </c>
      <c r="AH24" s="10" t="e">
        <f t="shared" si="49"/>
        <v>#DIV/0!</v>
      </c>
      <c r="AI24" s="10" t="e">
        <f t="shared" si="49"/>
        <v>#DIV/0!</v>
      </c>
      <c r="AJ24" s="51">
        <f t="shared" si="49"/>
        <v>0</v>
      </c>
      <c r="AK24" s="5">
        <f t="shared" si="49"/>
        <v>0</v>
      </c>
      <c r="AL24" s="10" t="e">
        <f t="shared" si="49"/>
        <v>#DIV/0!</v>
      </c>
      <c r="AM24" s="10" t="e">
        <f t="shared" si="49"/>
        <v>#DIV/0!</v>
      </c>
      <c r="AN24" s="5">
        <f>SUM(AN7:AN21)</f>
        <v>0</v>
      </c>
      <c r="AO24" s="5">
        <f>SUM(AO7:AO22)</f>
        <v>0</v>
      </c>
      <c r="AP24" s="10" t="e">
        <f>SUM(AP7:AP22)</f>
        <v>#DIV/0!</v>
      </c>
      <c r="AQ24" s="10" t="e">
        <f>SUM(AQ7:AQ22)</f>
        <v>#DIV/0!</v>
      </c>
      <c r="AR24" s="5">
        <f>SUM(AR7:AR21)</f>
        <v>0</v>
      </c>
      <c r="AS24" s="5">
        <f>SUM(AS7:AS22)</f>
        <v>0</v>
      </c>
      <c r="AT24" s="10" t="e">
        <f>SUM(AT7:AT22)</f>
        <v>#DIV/0!</v>
      </c>
      <c r="AU24" s="10" t="e">
        <f>SUM(AU7:AU22)</f>
        <v>#DIV/0!</v>
      </c>
      <c r="AV24" s="5">
        <f>SUM(AV7:AV21)</f>
        <v>0</v>
      </c>
      <c r="AW24" s="5">
        <f>SUM(AW7:AW22)</f>
        <v>0</v>
      </c>
      <c r="AX24" s="10" t="e">
        <f>SUM(AX7:AX22)</f>
        <v>#DIV/0!</v>
      </c>
      <c r="AY24" s="10" t="e">
        <f>SUM(AY7:AY22)</f>
        <v>#DIV/0!</v>
      </c>
      <c r="BA24" s="8"/>
    </row>
    <row r="25" spans="2:53" x14ac:dyDescent="0.35">
      <c r="E25" s="1"/>
      <c r="F25" s="1"/>
      <c r="G25" s="1"/>
      <c r="H25" s="53"/>
      <c r="I25" s="1"/>
      <c r="J25" s="1"/>
      <c r="K25" s="1"/>
      <c r="L25" s="53"/>
      <c r="M25" s="1"/>
      <c r="N25" s="1"/>
      <c r="O25" s="1"/>
      <c r="P25" s="53"/>
      <c r="Q25" s="1"/>
      <c r="R25" s="1"/>
      <c r="S25" s="1"/>
      <c r="T25" s="53"/>
      <c r="U25" s="1"/>
      <c r="V25" s="1"/>
      <c r="W25" s="1"/>
      <c r="X25" s="53"/>
      <c r="Y25" s="1"/>
      <c r="Z25" s="1"/>
      <c r="AA25" s="1"/>
      <c r="AB25" s="53"/>
      <c r="AC25" s="1"/>
      <c r="AD25" s="1"/>
      <c r="AE25" s="1"/>
      <c r="AF25" s="53"/>
      <c r="AG25" s="1"/>
      <c r="AH25" s="1"/>
      <c r="AI25" s="1"/>
      <c r="AJ25" s="53"/>
      <c r="AK25" s="30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2:53" x14ac:dyDescent="0.35">
      <c r="E26" s="1"/>
      <c r="F26" s="1"/>
      <c r="G26" s="1"/>
      <c r="H26" s="53"/>
      <c r="I26" s="1"/>
      <c r="J26" s="1"/>
      <c r="K26" s="1"/>
      <c r="L26" s="53"/>
      <c r="M26" s="1"/>
      <c r="N26" s="1"/>
      <c r="O26" s="1"/>
      <c r="P26" s="53"/>
      <c r="Q26" s="1"/>
      <c r="R26" s="1"/>
      <c r="S26" s="1"/>
      <c r="T26" s="53"/>
      <c r="U26" s="1"/>
      <c r="V26" s="1"/>
      <c r="W26" s="1"/>
      <c r="X26" s="53"/>
      <c r="Y26" s="1"/>
      <c r="Z26" s="1"/>
      <c r="AA26" s="1"/>
      <c r="AB26" s="53"/>
      <c r="AC26" s="1"/>
      <c r="AD26" s="1"/>
      <c r="AE26" s="1"/>
      <c r="AF26" s="53"/>
      <c r="AG26" s="1"/>
      <c r="AH26" s="1"/>
      <c r="AI26" s="1"/>
      <c r="AJ26" s="53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9" spans="2:53" x14ac:dyDescent="0.35">
      <c r="AK29" s="31"/>
    </row>
    <row r="30" spans="2:53" x14ac:dyDescent="0.35">
      <c r="AK30" s="31"/>
    </row>
    <row r="31" spans="2:53" x14ac:dyDescent="0.35">
      <c r="AK31" s="31"/>
    </row>
    <row r="32" spans="2:53" x14ac:dyDescent="0.35">
      <c r="AK32" s="31"/>
    </row>
    <row r="33" spans="37:37" x14ac:dyDescent="0.35">
      <c r="AK33" s="31"/>
    </row>
    <row r="34" spans="37:37" x14ac:dyDescent="0.35">
      <c r="AK34" s="31"/>
    </row>
    <row r="35" spans="37:37" x14ac:dyDescent="0.35">
      <c r="AK35" s="32"/>
    </row>
  </sheetData>
  <mergeCells count="12">
    <mergeCell ref="AV5:AY5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92D050"/>
  </sheetPr>
  <dimension ref="B1:BA35"/>
  <sheetViews>
    <sheetView zoomScale="70" zoomScaleNormal="70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M18" sqref="M18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style="46" bestFit="1" customWidth="1"/>
    <col min="5" max="5" width="14.81640625" bestFit="1" customWidth="1"/>
    <col min="6" max="7" width="9.26953125" bestFit="1" customWidth="1"/>
    <col min="8" max="8" width="6.81640625" style="46" customWidth="1"/>
    <col min="9" max="9" width="15.26953125" bestFit="1" customWidth="1"/>
    <col min="10" max="11" width="9.26953125" bestFit="1" customWidth="1"/>
    <col min="12" max="12" width="7" style="46" customWidth="1"/>
    <col min="13" max="13" width="15.26953125" bestFit="1" customWidth="1"/>
    <col min="14" max="15" width="9.26953125" bestFit="1" customWidth="1"/>
    <col min="16" max="16" width="7.26953125" style="46" customWidth="1"/>
    <col min="17" max="17" width="17.54296875" bestFit="1" customWidth="1"/>
    <col min="18" max="19" width="8.1796875" bestFit="1" customWidth="1"/>
    <col min="20" max="20" width="7.26953125" style="46" customWidth="1"/>
    <col min="21" max="21" width="15.26953125" bestFit="1" customWidth="1"/>
    <col min="22" max="23" width="8.1796875" bestFit="1" customWidth="1"/>
    <col min="24" max="24" width="6.81640625" style="46" customWidth="1"/>
    <col min="25" max="25" width="14.81640625" bestFit="1" customWidth="1"/>
    <col min="26" max="27" width="8.1796875" customWidth="1"/>
    <col min="28" max="28" width="7" style="46" customWidth="1"/>
    <col min="29" max="29" width="15.26953125" bestFit="1" customWidth="1"/>
    <col min="30" max="31" width="9.26953125" bestFit="1" customWidth="1"/>
    <col min="32" max="32" width="7.1796875" style="57" customWidth="1"/>
    <col min="33" max="33" width="15.26953125" bestFit="1" customWidth="1"/>
    <col min="34" max="35" width="8.1796875" customWidth="1"/>
    <col min="36" max="36" width="6.81640625" customWidth="1"/>
    <col min="37" max="37" width="15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9.26953125" bestFit="1" customWidth="1"/>
    <col min="48" max="48" width="6.26953125" customWidth="1"/>
    <col min="49" max="49" width="15.81640625" bestFit="1" customWidth="1"/>
    <col min="50" max="51" width="8.1796875" customWidth="1"/>
    <col min="53" max="53" width="14.81640625" bestFit="1" customWidth="1"/>
  </cols>
  <sheetData>
    <row r="1" spans="2:52" x14ac:dyDescent="0.35">
      <c r="B1" t="s">
        <v>13</v>
      </c>
      <c r="AW1" s="8"/>
    </row>
    <row r="2" spans="2:52" x14ac:dyDescent="0.35">
      <c r="B2" t="s">
        <v>55</v>
      </c>
      <c r="AW2" s="8"/>
    </row>
    <row r="3" spans="2:52" x14ac:dyDescent="0.35">
      <c r="B3" t="s">
        <v>79</v>
      </c>
    </row>
    <row r="4" spans="2:52" s="6" customFormat="1" x14ac:dyDescent="0.35">
      <c r="D4" s="47"/>
      <c r="H4" s="47"/>
      <c r="L4" s="47"/>
      <c r="P4" s="47"/>
      <c r="T4" s="47"/>
      <c r="X4" s="47"/>
      <c r="AB4" s="47"/>
      <c r="AF4" s="58"/>
      <c r="AJ4" s="9"/>
      <c r="AN4" s="9"/>
      <c r="AR4" s="9"/>
      <c r="AV4" s="9"/>
    </row>
    <row r="5" spans="2:52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3"/>
      <c r="J5" s="73"/>
      <c r="K5" s="71"/>
      <c r="L5" s="70" t="s">
        <v>1</v>
      </c>
      <c r="M5" s="73"/>
      <c r="N5" s="73"/>
      <c r="O5" s="71"/>
      <c r="P5" s="70" t="s">
        <v>2</v>
      </c>
      <c r="Q5" s="73"/>
      <c r="R5" s="73"/>
      <c r="S5" s="71"/>
      <c r="T5" s="70" t="s">
        <v>3</v>
      </c>
      <c r="U5" s="73"/>
      <c r="V5" s="73"/>
      <c r="W5" s="71"/>
      <c r="X5" s="70" t="s">
        <v>4</v>
      </c>
      <c r="Y5" s="73"/>
      <c r="Z5" s="73"/>
      <c r="AA5" s="71"/>
      <c r="AB5" s="70" t="s">
        <v>5</v>
      </c>
      <c r="AC5" s="73"/>
      <c r="AD5" s="73"/>
      <c r="AE5" s="71"/>
      <c r="AF5" s="70" t="s">
        <v>6</v>
      </c>
      <c r="AG5" s="73"/>
      <c r="AH5" s="73"/>
      <c r="AI5" s="71"/>
      <c r="AJ5" s="70" t="s">
        <v>7</v>
      </c>
      <c r="AK5" s="73"/>
      <c r="AL5" s="73"/>
      <c r="AM5" s="71"/>
      <c r="AN5" s="70" t="s">
        <v>8</v>
      </c>
      <c r="AO5" s="73"/>
      <c r="AP5" s="73"/>
      <c r="AQ5" s="71"/>
      <c r="AR5" s="70" t="s">
        <v>52</v>
      </c>
      <c r="AS5" s="73"/>
      <c r="AT5" s="73"/>
      <c r="AU5" s="71"/>
      <c r="AV5" s="74" t="s">
        <v>9</v>
      </c>
      <c r="AW5" s="74"/>
      <c r="AX5" s="74"/>
      <c r="AY5" s="74"/>
      <c r="AZ5" s="27"/>
    </row>
    <row r="6" spans="2:52" s="14" customFormat="1" ht="29" x14ac:dyDescent="0.35">
      <c r="B6" s="12"/>
      <c r="C6" s="12"/>
      <c r="D6" s="48" t="s">
        <v>14</v>
      </c>
      <c r="E6" s="13" t="s">
        <v>15</v>
      </c>
      <c r="F6" s="13" t="s">
        <v>27</v>
      </c>
      <c r="G6" s="13" t="s">
        <v>28</v>
      </c>
      <c r="H6" s="48" t="s">
        <v>14</v>
      </c>
      <c r="I6" s="13" t="s">
        <v>15</v>
      </c>
      <c r="J6" s="13" t="s">
        <v>27</v>
      </c>
      <c r="K6" s="13" t="s">
        <v>28</v>
      </c>
      <c r="L6" s="48" t="s">
        <v>14</v>
      </c>
      <c r="M6" s="13" t="s">
        <v>15</v>
      </c>
      <c r="N6" s="13" t="s">
        <v>27</v>
      </c>
      <c r="O6" s="13" t="s">
        <v>28</v>
      </c>
      <c r="P6" s="48" t="s">
        <v>14</v>
      </c>
      <c r="Q6" s="13" t="s">
        <v>15</v>
      </c>
      <c r="R6" s="13" t="s">
        <v>27</v>
      </c>
      <c r="S6" s="13" t="s">
        <v>28</v>
      </c>
      <c r="T6" s="48" t="s">
        <v>14</v>
      </c>
      <c r="U6" s="13" t="s">
        <v>15</v>
      </c>
      <c r="V6" s="13" t="s">
        <v>27</v>
      </c>
      <c r="W6" s="13" t="s">
        <v>28</v>
      </c>
      <c r="X6" s="48" t="s">
        <v>14</v>
      </c>
      <c r="Y6" s="13" t="s">
        <v>15</v>
      </c>
      <c r="Z6" s="13" t="s">
        <v>27</v>
      </c>
      <c r="AA6" s="13" t="s">
        <v>28</v>
      </c>
      <c r="AB6" s="48" t="s">
        <v>14</v>
      </c>
      <c r="AC6" s="13" t="s">
        <v>15</v>
      </c>
      <c r="AD6" s="13" t="s">
        <v>27</v>
      </c>
      <c r="AE6" s="13" t="s">
        <v>28</v>
      </c>
      <c r="AF6" s="59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28"/>
    </row>
    <row r="7" spans="2:52" x14ac:dyDescent="0.35">
      <c r="B7" s="3">
        <v>1</v>
      </c>
      <c r="C7" s="3" t="s">
        <v>31</v>
      </c>
      <c r="D7" s="49">
        <v>0</v>
      </c>
      <c r="E7" s="7">
        <v>0</v>
      </c>
      <c r="F7" s="11">
        <f t="shared" ref="F7:F22" si="0">D7/$D$24</f>
        <v>0</v>
      </c>
      <c r="G7" s="11">
        <f t="shared" ref="G7:G22" si="1">E7/$E$24</f>
        <v>0</v>
      </c>
      <c r="H7" s="49">
        <v>0</v>
      </c>
      <c r="I7" s="7">
        <v>0</v>
      </c>
      <c r="J7" s="11">
        <f t="shared" ref="J7:J22" si="2">H7/$H$24</f>
        <v>0</v>
      </c>
      <c r="K7" s="11">
        <f t="shared" ref="K7:K22" si="3">I7/$I$24</f>
        <v>0</v>
      </c>
      <c r="L7" s="49">
        <v>0</v>
      </c>
      <c r="M7" s="7">
        <v>0</v>
      </c>
      <c r="N7" s="11">
        <f t="shared" ref="N7:N22" si="4">L7/$L$24</f>
        <v>0</v>
      </c>
      <c r="O7" s="11">
        <f t="shared" ref="O7:O22" si="5">M7/$M$24</f>
        <v>0</v>
      </c>
      <c r="P7" s="49">
        <v>0</v>
      </c>
      <c r="Q7" s="7">
        <v>0</v>
      </c>
      <c r="R7" s="11" t="e">
        <f t="shared" ref="R7:R22" si="6">P7/$P$24</f>
        <v>#DIV/0!</v>
      </c>
      <c r="S7" s="11" t="e">
        <f t="shared" ref="S7:S22" si="7">Q7/$Q$24</f>
        <v>#DIV/0!</v>
      </c>
      <c r="T7" s="49">
        <v>0</v>
      </c>
      <c r="U7" s="7">
        <v>0</v>
      </c>
      <c r="V7" s="11" t="e">
        <f t="shared" ref="V7:V22" si="8">T7/$T$24</f>
        <v>#DIV/0!</v>
      </c>
      <c r="W7" s="11" t="e">
        <f t="shared" ref="W7:W22" si="9">U7/$U$24</f>
        <v>#DIV/0!</v>
      </c>
      <c r="X7" s="49">
        <v>0</v>
      </c>
      <c r="Y7" s="7">
        <v>0</v>
      </c>
      <c r="Z7" s="11" t="e">
        <f t="shared" ref="Z7:Z22" si="10">X7/$X$24</f>
        <v>#DIV/0!</v>
      </c>
      <c r="AA7" s="11" t="e">
        <f t="shared" ref="AA7:AA22" si="11">Y7/$Y$24</f>
        <v>#DIV/0!</v>
      </c>
      <c r="AB7" s="49">
        <v>0</v>
      </c>
      <c r="AC7" s="7">
        <v>0</v>
      </c>
      <c r="AD7" s="11" t="e">
        <f t="shared" ref="AD7:AD22" si="12">AB7/$AB$24</f>
        <v>#DIV/0!</v>
      </c>
      <c r="AE7" s="11" t="e">
        <f t="shared" ref="AE7:AE22" si="13">AC7/$AC$24</f>
        <v>#DIV/0!</v>
      </c>
      <c r="AF7" s="49"/>
      <c r="AG7" s="7">
        <v>0</v>
      </c>
      <c r="AH7" s="11" t="e">
        <f t="shared" ref="AH7:AH22" si="14">AF7/$AF$24</f>
        <v>#DIV/0!</v>
      </c>
      <c r="AI7" s="11" t="e">
        <f t="shared" ref="AI7:AI22" si="15">AG7/$AG$24</f>
        <v>#DIV/0!</v>
      </c>
      <c r="AJ7" s="15">
        <v>0</v>
      </c>
      <c r="AK7" s="7">
        <v>0</v>
      </c>
      <c r="AL7" s="11" t="e">
        <f t="shared" ref="AL7:AL22" si="16">AJ7/$AJ$24</f>
        <v>#DIV/0!</v>
      </c>
      <c r="AM7" s="11" t="e">
        <f t="shared" ref="AM7:AM22" si="17">AK7/$AK$24</f>
        <v>#DIV/0!</v>
      </c>
      <c r="AN7" s="15">
        <v>0</v>
      </c>
      <c r="AO7" s="7">
        <v>0</v>
      </c>
      <c r="AP7" s="11" t="e">
        <f t="shared" ref="AP7:AP22" si="18">AN7/$AN$24</f>
        <v>#DIV/0!</v>
      </c>
      <c r="AQ7" s="11" t="e">
        <f t="shared" ref="AQ7:AQ22" si="19">AO7/$AO$24</f>
        <v>#DIV/0!</v>
      </c>
      <c r="AR7" s="15">
        <v>0</v>
      </c>
      <c r="AS7" s="7">
        <v>0</v>
      </c>
      <c r="AT7" s="11" t="e">
        <f t="shared" ref="AT7:AT22" si="20">AR7/$AR$24</f>
        <v>#DIV/0!</v>
      </c>
      <c r="AU7" s="11" t="e">
        <f t="shared" ref="AU7:AU22" si="21">AS7/$AS$24</f>
        <v>#DIV/0!</v>
      </c>
      <c r="AV7" s="15">
        <v>0</v>
      </c>
      <c r="AW7" s="7">
        <v>0</v>
      </c>
      <c r="AX7" s="11" t="e">
        <f t="shared" ref="AX7:AX22" si="22">AV7/$AF$24</f>
        <v>#DIV/0!</v>
      </c>
      <c r="AY7" s="11" t="e">
        <f t="shared" ref="AY7:AY22" si="23">AW7/$AG$24</f>
        <v>#DIV/0!</v>
      </c>
    </row>
    <row r="8" spans="2:52" x14ac:dyDescent="0.35">
      <c r="B8" s="3">
        <f t="shared" ref="B8:B22" si="24">B7+1</f>
        <v>2</v>
      </c>
      <c r="C8" s="3" t="s">
        <v>17</v>
      </c>
      <c r="D8" s="49">
        <v>0</v>
      </c>
      <c r="E8" s="7">
        <v>0</v>
      </c>
      <c r="F8" s="11">
        <f t="shared" si="0"/>
        <v>0</v>
      </c>
      <c r="G8" s="11">
        <f t="shared" si="1"/>
        <v>0</v>
      </c>
      <c r="H8" s="49">
        <v>0</v>
      </c>
      <c r="I8" s="7">
        <v>0</v>
      </c>
      <c r="J8" s="11">
        <f t="shared" si="2"/>
        <v>0</v>
      </c>
      <c r="K8" s="11">
        <f t="shared" si="3"/>
        <v>0</v>
      </c>
      <c r="L8" s="49">
        <v>0</v>
      </c>
      <c r="M8" s="7">
        <v>0</v>
      </c>
      <c r="N8" s="11">
        <f t="shared" si="4"/>
        <v>0</v>
      </c>
      <c r="O8" s="11">
        <f t="shared" si="5"/>
        <v>0</v>
      </c>
      <c r="P8" s="49">
        <v>0</v>
      </c>
      <c r="Q8" s="7">
        <v>0</v>
      </c>
      <c r="R8" s="11" t="e">
        <f t="shared" si="6"/>
        <v>#DIV/0!</v>
      </c>
      <c r="S8" s="11" t="e">
        <f t="shared" si="7"/>
        <v>#DIV/0!</v>
      </c>
      <c r="T8" s="49">
        <v>0</v>
      </c>
      <c r="U8" s="7">
        <v>0</v>
      </c>
      <c r="V8" s="11" t="e">
        <f t="shared" si="8"/>
        <v>#DIV/0!</v>
      </c>
      <c r="W8" s="11" t="e">
        <f t="shared" si="9"/>
        <v>#DIV/0!</v>
      </c>
      <c r="X8" s="49">
        <v>0</v>
      </c>
      <c r="Y8" s="7">
        <v>0</v>
      </c>
      <c r="Z8" s="11" t="e">
        <f t="shared" si="10"/>
        <v>#DIV/0!</v>
      </c>
      <c r="AA8" s="11" t="e">
        <f t="shared" si="11"/>
        <v>#DIV/0!</v>
      </c>
      <c r="AB8" s="49">
        <v>0</v>
      </c>
      <c r="AC8" s="7">
        <v>0</v>
      </c>
      <c r="AD8" s="11" t="e">
        <f t="shared" si="12"/>
        <v>#DIV/0!</v>
      </c>
      <c r="AE8" s="11" t="e">
        <f t="shared" si="13"/>
        <v>#DIV/0!</v>
      </c>
      <c r="AF8" s="49"/>
      <c r="AG8" s="7">
        <v>0</v>
      </c>
      <c r="AH8" s="11" t="e">
        <f t="shared" si="14"/>
        <v>#DIV/0!</v>
      </c>
      <c r="AI8" s="11" t="e">
        <f t="shared" si="15"/>
        <v>#DIV/0!</v>
      </c>
      <c r="AJ8" s="15">
        <v>0</v>
      </c>
      <c r="AK8" s="7">
        <v>0</v>
      </c>
      <c r="AL8" s="11" t="e">
        <f t="shared" si="16"/>
        <v>#DIV/0!</v>
      </c>
      <c r="AM8" s="11" t="e">
        <f t="shared" si="17"/>
        <v>#DIV/0!</v>
      </c>
      <c r="AN8" s="15">
        <v>0</v>
      </c>
      <c r="AO8" s="7">
        <v>0</v>
      </c>
      <c r="AP8" s="11" t="e">
        <f t="shared" si="18"/>
        <v>#DIV/0!</v>
      </c>
      <c r="AQ8" s="11" t="e">
        <f t="shared" si="19"/>
        <v>#DIV/0!</v>
      </c>
      <c r="AR8" s="15">
        <v>0</v>
      </c>
      <c r="AS8" s="7">
        <v>0</v>
      </c>
      <c r="AT8" s="11" t="e">
        <f t="shared" si="20"/>
        <v>#DIV/0!</v>
      </c>
      <c r="AU8" s="11" t="e">
        <f t="shared" si="21"/>
        <v>#DIV/0!</v>
      </c>
      <c r="AV8" s="15">
        <v>0</v>
      </c>
      <c r="AW8" s="7">
        <v>0</v>
      </c>
      <c r="AX8" s="11" t="e">
        <f t="shared" si="22"/>
        <v>#DIV/0!</v>
      </c>
      <c r="AY8" s="11" t="e">
        <f t="shared" si="23"/>
        <v>#DIV/0!</v>
      </c>
    </row>
    <row r="9" spans="2:52" x14ac:dyDescent="0.35">
      <c r="B9" s="3">
        <f t="shared" si="24"/>
        <v>3</v>
      </c>
      <c r="C9" s="3" t="s">
        <v>18</v>
      </c>
      <c r="D9" s="49">
        <v>0</v>
      </c>
      <c r="E9" s="7">
        <v>0</v>
      </c>
      <c r="F9" s="11">
        <f t="shared" si="0"/>
        <v>0</v>
      </c>
      <c r="G9" s="11">
        <f t="shared" si="1"/>
        <v>0</v>
      </c>
      <c r="H9" s="49">
        <v>0</v>
      </c>
      <c r="I9" s="7">
        <v>0</v>
      </c>
      <c r="J9" s="11">
        <f t="shared" si="2"/>
        <v>0</v>
      </c>
      <c r="K9" s="11">
        <f t="shared" si="3"/>
        <v>0</v>
      </c>
      <c r="L9" s="49">
        <v>0</v>
      </c>
      <c r="M9" s="7">
        <v>0</v>
      </c>
      <c r="N9" s="11">
        <f t="shared" si="4"/>
        <v>0</v>
      </c>
      <c r="O9" s="11">
        <f t="shared" si="5"/>
        <v>0</v>
      </c>
      <c r="P9" s="49">
        <v>0</v>
      </c>
      <c r="Q9" s="7">
        <v>0</v>
      </c>
      <c r="R9" s="11" t="e">
        <f t="shared" si="6"/>
        <v>#DIV/0!</v>
      </c>
      <c r="S9" s="11" t="e">
        <f t="shared" si="7"/>
        <v>#DIV/0!</v>
      </c>
      <c r="T9" s="49">
        <v>0</v>
      </c>
      <c r="U9" s="7">
        <v>0</v>
      </c>
      <c r="V9" s="11" t="e">
        <f t="shared" si="8"/>
        <v>#DIV/0!</v>
      </c>
      <c r="W9" s="11" t="e">
        <f t="shared" si="9"/>
        <v>#DIV/0!</v>
      </c>
      <c r="X9" s="49">
        <v>0</v>
      </c>
      <c r="Y9" s="7">
        <v>0</v>
      </c>
      <c r="Z9" s="11" t="e">
        <f t="shared" si="10"/>
        <v>#DIV/0!</v>
      </c>
      <c r="AA9" s="11" t="e">
        <f t="shared" si="11"/>
        <v>#DIV/0!</v>
      </c>
      <c r="AB9" s="49">
        <v>0</v>
      </c>
      <c r="AC9" s="7">
        <v>0</v>
      </c>
      <c r="AD9" s="11" t="e">
        <f t="shared" si="12"/>
        <v>#DIV/0!</v>
      </c>
      <c r="AE9" s="11" t="e">
        <f t="shared" si="13"/>
        <v>#DIV/0!</v>
      </c>
      <c r="AF9" s="49"/>
      <c r="AG9" s="7">
        <v>0</v>
      </c>
      <c r="AH9" s="11" t="e">
        <f t="shared" si="14"/>
        <v>#DIV/0!</v>
      </c>
      <c r="AI9" s="11" t="e">
        <f t="shared" si="15"/>
        <v>#DIV/0!</v>
      </c>
      <c r="AJ9" s="15">
        <v>0</v>
      </c>
      <c r="AK9" s="7">
        <v>0</v>
      </c>
      <c r="AL9" s="11" t="e">
        <f t="shared" si="16"/>
        <v>#DIV/0!</v>
      </c>
      <c r="AM9" s="11" t="e">
        <f t="shared" si="17"/>
        <v>#DIV/0!</v>
      </c>
      <c r="AN9" s="15">
        <v>0</v>
      </c>
      <c r="AO9" s="7">
        <v>0</v>
      </c>
      <c r="AP9" s="11" t="e">
        <f t="shared" si="18"/>
        <v>#DIV/0!</v>
      </c>
      <c r="AQ9" s="11" t="e">
        <f t="shared" si="19"/>
        <v>#DIV/0!</v>
      </c>
      <c r="AR9" s="15">
        <v>0</v>
      </c>
      <c r="AS9" s="7">
        <v>0</v>
      </c>
      <c r="AT9" s="11" t="e">
        <f t="shared" si="20"/>
        <v>#DIV/0!</v>
      </c>
      <c r="AU9" s="11" t="e">
        <f t="shared" si="21"/>
        <v>#DIV/0!</v>
      </c>
      <c r="AV9" s="15">
        <v>0</v>
      </c>
      <c r="AW9" s="7">
        <v>0</v>
      </c>
      <c r="AX9" s="11" t="e">
        <f t="shared" si="22"/>
        <v>#DIV/0!</v>
      </c>
      <c r="AY9" s="11" t="e">
        <f t="shared" si="23"/>
        <v>#DIV/0!</v>
      </c>
    </row>
    <row r="10" spans="2:52" x14ac:dyDescent="0.35">
      <c r="B10" s="3">
        <f t="shared" si="24"/>
        <v>4</v>
      </c>
      <c r="C10" s="3" t="s">
        <v>19</v>
      </c>
      <c r="D10" s="49">
        <v>0</v>
      </c>
      <c r="E10" s="7">
        <v>0</v>
      </c>
      <c r="F10" s="11">
        <f t="shared" si="0"/>
        <v>0</v>
      </c>
      <c r="G10" s="11">
        <f t="shared" si="1"/>
        <v>0</v>
      </c>
      <c r="H10" s="49">
        <v>0</v>
      </c>
      <c r="I10" s="7">
        <v>0</v>
      </c>
      <c r="J10" s="11">
        <f t="shared" si="2"/>
        <v>0</v>
      </c>
      <c r="K10" s="11">
        <f t="shared" si="3"/>
        <v>0</v>
      </c>
      <c r="L10" s="49">
        <v>0</v>
      </c>
      <c r="M10" s="7">
        <v>0</v>
      </c>
      <c r="N10" s="11">
        <f t="shared" si="4"/>
        <v>0</v>
      </c>
      <c r="O10" s="11">
        <f t="shared" si="5"/>
        <v>0</v>
      </c>
      <c r="P10" s="49">
        <v>0</v>
      </c>
      <c r="Q10" s="7">
        <v>0</v>
      </c>
      <c r="R10" s="11" t="e">
        <f t="shared" si="6"/>
        <v>#DIV/0!</v>
      </c>
      <c r="S10" s="11" t="e">
        <f t="shared" si="7"/>
        <v>#DIV/0!</v>
      </c>
      <c r="T10" s="49">
        <v>0</v>
      </c>
      <c r="U10" s="7">
        <v>0</v>
      </c>
      <c r="V10" s="11" t="e">
        <f t="shared" si="8"/>
        <v>#DIV/0!</v>
      </c>
      <c r="W10" s="11" t="e">
        <f t="shared" si="9"/>
        <v>#DIV/0!</v>
      </c>
      <c r="X10" s="49">
        <v>0</v>
      </c>
      <c r="Y10" s="7">
        <v>0</v>
      </c>
      <c r="Z10" s="11" t="e">
        <f t="shared" si="10"/>
        <v>#DIV/0!</v>
      </c>
      <c r="AA10" s="11" t="e">
        <f t="shared" si="11"/>
        <v>#DIV/0!</v>
      </c>
      <c r="AB10" s="49">
        <v>0</v>
      </c>
      <c r="AC10" s="7">
        <v>0</v>
      </c>
      <c r="AD10" s="11" t="e">
        <f t="shared" si="12"/>
        <v>#DIV/0!</v>
      </c>
      <c r="AE10" s="11" t="e">
        <f t="shared" si="13"/>
        <v>#DIV/0!</v>
      </c>
      <c r="AF10" s="49"/>
      <c r="AG10" s="7">
        <v>0</v>
      </c>
      <c r="AH10" s="11" t="e">
        <f t="shared" si="14"/>
        <v>#DIV/0!</v>
      </c>
      <c r="AI10" s="11" t="e">
        <f t="shared" si="15"/>
        <v>#DIV/0!</v>
      </c>
      <c r="AJ10" s="15">
        <v>0</v>
      </c>
      <c r="AK10" s="7">
        <v>0</v>
      </c>
      <c r="AL10" s="11" t="e">
        <f t="shared" si="16"/>
        <v>#DIV/0!</v>
      </c>
      <c r="AM10" s="11" t="e">
        <f t="shared" si="17"/>
        <v>#DIV/0!</v>
      </c>
      <c r="AN10" s="15">
        <v>0</v>
      </c>
      <c r="AO10" s="7">
        <v>0</v>
      </c>
      <c r="AP10" s="11" t="e">
        <f t="shared" si="18"/>
        <v>#DIV/0!</v>
      </c>
      <c r="AQ10" s="11" t="e">
        <f t="shared" si="19"/>
        <v>#DIV/0!</v>
      </c>
      <c r="AR10" s="15">
        <v>0</v>
      </c>
      <c r="AS10" s="7">
        <v>0</v>
      </c>
      <c r="AT10" s="11" t="e">
        <f t="shared" si="20"/>
        <v>#DIV/0!</v>
      </c>
      <c r="AU10" s="11" t="e">
        <f t="shared" si="21"/>
        <v>#DIV/0!</v>
      </c>
      <c r="AV10" s="15">
        <v>0</v>
      </c>
      <c r="AW10" s="7">
        <v>0</v>
      </c>
      <c r="AX10" s="11" t="e">
        <f t="shared" si="22"/>
        <v>#DIV/0!</v>
      </c>
      <c r="AY10" s="11" t="e">
        <f t="shared" si="23"/>
        <v>#DIV/0!</v>
      </c>
    </row>
    <row r="11" spans="2:52" x14ac:dyDescent="0.35">
      <c r="B11" s="3">
        <f t="shared" si="24"/>
        <v>5</v>
      </c>
      <c r="C11" s="3" t="s">
        <v>20</v>
      </c>
      <c r="D11" s="49">
        <v>0</v>
      </c>
      <c r="E11" s="7">
        <v>0</v>
      </c>
      <c r="F11" s="11">
        <f t="shared" si="0"/>
        <v>0</v>
      </c>
      <c r="G11" s="11">
        <f t="shared" si="1"/>
        <v>0</v>
      </c>
      <c r="H11" s="49">
        <v>0</v>
      </c>
      <c r="I11" s="7">
        <v>0</v>
      </c>
      <c r="J11" s="11">
        <f t="shared" si="2"/>
        <v>0</v>
      </c>
      <c r="K11" s="11">
        <f t="shared" si="3"/>
        <v>0</v>
      </c>
      <c r="L11" s="49">
        <v>0</v>
      </c>
      <c r="M11" s="7">
        <v>0</v>
      </c>
      <c r="N11" s="11">
        <f t="shared" si="4"/>
        <v>0</v>
      </c>
      <c r="O11" s="11">
        <f t="shared" si="5"/>
        <v>0</v>
      </c>
      <c r="P11" s="49">
        <v>0</v>
      </c>
      <c r="Q11" s="7">
        <v>0</v>
      </c>
      <c r="R11" s="11" t="e">
        <f t="shared" si="6"/>
        <v>#DIV/0!</v>
      </c>
      <c r="S11" s="11" t="e">
        <f t="shared" si="7"/>
        <v>#DIV/0!</v>
      </c>
      <c r="T11" s="49">
        <v>0</v>
      </c>
      <c r="U11" s="7">
        <v>0</v>
      </c>
      <c r="V11" s="11" t="e">
        <f t="shared" si="8"/>
        <v>#DIV/0!</v>
      </c>
      <c r="W11" s="11" t="e">
        <f t="shared" si="9"/>
        <v>#DIV/0!</v>
      </c>
      <c r="X11" s="49">
        <v>0</v>
      </c>
      <c r="Y11" s="7">
        <v>0</v>
      </c>
      <c r="Z11" s="11" t="e">
        <f t="shared" si="10"/>
        <v>#DIV/0!</v>
      </c>
      <c r="AA11" s="11" t="e">
        <f t="shared" si="11"/>
        <v>#DIV/0!</v>
      </c>
      <c r="AB11" s="49">
        <v>0</v>
      </c>
      <c r="AC11" s="7">
        <v>0</v>
      </c>
      <c r="AD11" s="11" t="e">
        <f t="shared" si="12"/>
        <v>#DIV/0!</v>
      </c>
      <c r="AE11" s="11" t="e">
        <f t="shared" si="13"/>
        <v>#DIV/0!</v>
      </c>
      <c r="AF11" s="49"/>
      <c r="AG11" s="7">
        <v>0</v>
      </c>
      <c r="AH11" s="11" t="e">
        <f t="shared" si="14"/>
        <v>#DIV/0!</v>
      </c>
      <c r="AI11" s="11" t="e">
        <f t="shared" si="15"/>
        <v>#DIV/0!</v>
      </c>
      <c r="AJ11" s="15">
        <v>0</v>
      </c>
      <c r="AK11" s="7">
        <v>0</v>
      </c>
      <c r="AL11" s="11" t="e">
        <f t="shared" si="16"/>
        <v>#DIV/0!</v>
      </c>
      <c r="AM11" s="11" t="e">
        <f t="shared" si="17"/>
        <v>#DIV/0!</v>
      </c>
      <c r="AN11" s="15">
        <v>0</v>
      </c>
      <c r="AO11" s="7">
        <v>0</v>
      </c>
      <c r="AP11" s="11" t="e">
        <f t="shared" si="18"/>
        <v>#DIV/0!</v>
      </c>
      <c r="AQ11" s="11" t="e">
        <f t="shared" si="19"/>
        <v>#DIV/0!</v>
      </c>
      <c r="AR11" s="15">
        <v>0</v>
      </c>
      <c r="AS11" s="7">
        <v>0</v>
      </c>
      <c r="AT11" s="11" t="e">
        <f t="shared" si="20"/>
        <v>#DIV/0!</v>
      </c>
      <c r="AU11" s="11" t="e">
        <f t="shared" si="21"/>
        <v>#DIV/0!</v>
      </c>
      <c r="AV11" s="15">
        <v>0</v>
      </c>
      <c r="AW11" s="7">
        <v>0</v>
      </c>
      <c r="AX11" s="11" t="e">
        <f t="shared" si="22"/>
        <v>#DIV/0!</v>
      </c>
      <c r="AY11" s="11" t="e">
        <f t="shared" si="23"/>
        <v>#DIV/0!</v>
      </c>
    </row>
    <row r="12" spans="2:52" x14ac:dyDescent="0.35">
      <c r="B12" s="3">
        <f t="shared" si="24"/>
        <v>6</v>
      </c>
      <c r="C12" s="3" t="s">
        <v>67</v>
      </c>
      <c r="D12" s="49">
        <f>1+4</f>
        <v>5</v>
      </c>
      <c r="E12" s="7">
        <v>15948711</v>
      </c>
      <c r="F12" s="11">
        <f t="shared" si="0"/>
        <v>0.83333333333333337</v>
      </c>
      <c r="G12" s="11">
        <f t="shared" si="1"/>
        <v>0.85430167085451159</v>
      </c>
      <c r="H12" s="49">
        <v>5</v>
      </c>
      <c r="I12" s="7">
        <v>21974804</v>
      </c>
      <c r="J12" s="11">
        <f t="shared" si="2"/>
        <v>0.83333333333333337</v>
      </c>
      <c r="K12" s="11">
        <f t="shared" si="3"/>
        <v>0.87184982672350875</v>
      </c>
      <c r="L12" s="49">
        <v>5</v>
      </c>
      <c r="M12" s="7">
        <v>14832000</v>
      </c>
      <c r="N12" s="11">
        <f t="shared" si="4"/>
        <v>0.83333333333333337</v>
      </c>
      <c r="O12" s="11">
        <f t="shared" si="5"/>
        <v>0.87032038493134611</v>
      </c>
      <c r="P12" s="49"/>
      <c r="Q12" s="7"/>
      <c r="R12" s="11" t="e">
        <f t="shared" si="6"/>
        <v>#DIV/0!</v>
      </c>
      <c r="S12" s="11" t="e">
        <f t="shared" si="7"/>
        <v>#DIV/0!</v>
      </c>
      <c r="T12" s="49"/>
      <c r="U12" s="7"/>
      <c r="V12" s="11" t="e">
        <f t="shared" si="8"/>
        <v>#DIV/0!</v>
      </c>
      <c r="W12" s="11" t="e">
        <f t="shared" si="9"/>
        <v>#DIV/0!</v>
      </c>
      <c r="X12" s="49"/>
      <c r="Y12" s="7"/>
      <c r="Z12" s="11" t="e">
        <f t="shared" si="10"/>
        <v>#DIV/0!</v>
      </c>
      <c r="AA12" s="11" t="e">
        <f t="shared" si="11"/>
        <v>#DIV/0!</v>
      </c>
      <c r="AB12" s="49"/>
      <c r="AC12" s="7"/>
      <c r="AD12" s="11" t="e">
        <f t="shared" si="12"/>
        <v>#DIV/0!</v>
      </c>
      <c r="AE12" s="11" t="e">
        <f t="shared" si="13"/>
        <v>#DIV/0!</v>
      </c>
      <c r="AF12" s="49"/>
      <c r="AG12" s="7"/>
      <c r="AH12" s="11" t="e">
        <f t="shared" si="14"/>
        <v>#DIV/0!</v>
      </c>
      <c r="AI12" s="11" t="e">
        <f t="shared" si="15"/>
        <v>#DIV/0!</v>
      </c>
      <c r="AJ12" s="7"/>
      <c r="AK12" s="7"/>
      <c r="AL12" s="11" t="e">
        <f t="shared" si="16"/>
        <v>#DIV/0!</v>
      </c>
      <c r="AM12" s="11" t="e">
        <f t="shared" si="17"/>
        <v>#DIV/0!</v>
      </c>
      <c r="AN12" s="15"/>
      <c r="AO12" s="7"/>
      <c r="AP12" s="11" t="e">
        <f t="shared" si="18"/>
        <v>#DIV/0!</v>
      </c>
      <c r="AQ12" s="11" t="e">
        <f t="shared" si="19"/>
        <v>#DIV/0!</v>
      </c>
      <c r="AR12" s="15"/>
      <c r="AS12" s="7"/>
      <c r="AT12" s="11" t="e">
        <f t="shared" si="20"/>
        <v>#DIV/0!</v>
      </c>
      <c r="AU12" s="11" t="e">
        <f t="shared" si="21"/>
        <v>#DIV/0!</v>
      </c>
      <c r="AV12" s="15"/>
      <c r="AW12" s="7"/>
      <c r="AX12" s="11" t="e">
        <f t="shared" si="22"/>
        <v>#DIV/0!</v>
      </c>
      <c r="AY12" s="11" t="e">
        <f t="shared" si="23"/>
        <v>#DIV/0!</v>
      </c>
    </row>
    <row r="13" spans="2:52" x14ac:dyDescent="0.35">
      <c r="B13" s="3">
        <f t="shared" si="24"/>
        <v>7</v>
      </c>
      <c r="C13" s="3" t="s">
        <v>39</v>
      </c>
      <c r="D13" s="49">
        <v>0</v>
      </c>
      <c r="E13" s="7">
        <v>0</v>
      </c>
      <c r="F13" s="11">
        <f t="shared" si="0"/>
        <v>0</v>
      </c>
      <c r="G13" s="11">
        <f t="shared" si="1"/>
        <v>0</v>
      </c>
      <c r="H13" s="49"/>
      <c r="I13" s="7"/>
      <c r="J13" s="11">
        <f t="shared" si="2"/>
        <v>0</v>
      </c>
      <c r="K13" s="11">
        <f t="shared" si="3"/>
        <v>0</v>
      </c>
      <c r="L13" s="49">
        <v>0</v>
      </c>
      <c r="M13" s="7">
        <v>0</v>
      </c>
      <c r="N13" s="11">
        <f t="shared" si="4"/>
        <v>0</v>
      </c>
      <c r="O13" s="11">
        <f t="shared" si="5"/>
        <v>0</v>
      </c>
      <c r="P13" s="49"/>
      <c r="Q13" s="7"/>
      <c r="R13" s="11" t="e">
        <f t="shared" si="6"/>
        <v>#DIV/0!</v>
      </c>
      <c r="S13" s="11" t="e">
        <f t="shared" si="7"/>
        <v>#DIV/0!</v>
      </c>
      <c r="T13" s="49"/>
      <c r="U13" s="7"/>
      <c r="V13" s="11" t="e">
        <f t="shared" si="8"/>
        <v>#DIV/0!</v>
      </c>
      <c r="W13" s="11" t="e">
        <f t="shared" si="9"/>
        <v>#DIV/0!</v>
      </c>
      <c r="X13" s="49"/>
      <c r="Y13" s="7"/>
      <c r="Z13" s="11" t="e">
        <f t="shared" si="10"/>
        <v>#DIV/0!</v>
      </c>
      <c r="AA13" s="11" t="e">
        <f t="shared" si="11"/>
        <v>#DIV/0!</v>
      </c>
      <c r="AB13" s="49"/>
      <c r="AC13" s="7"/>
      <c r="AD13" s="11" t="e">
        <f t="shared" si="12"/>
        <v>#DIV/0!</v>
      </c>
      <c r="AE13" s="11" t="e">
        <f t="shared" si="13"/>
        <v>#DIV/0!</v>
      </c>
      <c r="AF13" s="49"/>
      <c r="AG13" s="7">
        <v>0</v>
      </c>
      <c r="AH13" s="11" t="e">
        <f t="shared" si="14"/>
        <v>#DIV/0!</v>
      </c>
      <c r="AI13" s="11" t="e">
        <f t="shared" si="15"/>
        <v>#DIV/0!</v>
      </c>
      <c r="AJ13" s="15">
        <v>0</v>
      </c>
      <c r="AK13" s="7">
        <v>0</v>
      </c>
      <c r="AL13" s="11" t="e">
        <f t="shared" si="16"/>
        <v>#DIV/0!</v>
      </c>
      <c r="AM13" s="11" t="e">
        <f t="shared" si="17"/>
        <v>#DIV/0!</v>
      </c>
      <c r="AN13" s="15">
        <v>0</v>
      </c>
      <c r="AO13" s="7">
        <v>0</v>
      </c>
      <c r="AP13" s="11" t="e">
        <f t="shared" si="18"/>
        <v>#DIV/0!</v>
      </c>
      <c r="AQ13" s="11" t="e">
        <f t="shared" si="19"/>
        <v>#DIV/0!</v>
      </c>
      <c r="AR13" s="15">
        <v>0</v>
      </c>
      <c r="AS13" s="7">
        <v>0</v>
      </c>
      <c r="AT13" s="11" t="e">
        <f t="shared" si="20"/>
        <v>#DIV/0!</v>
      </c>
      <c r="AU13" s="11" t="e">
        <f t="shared" si="21"/>
        <v>#DIV/0!</v>
      </c>
      <c r="AV13" s="15">
        <v>0</v>
      </c>
      <c r="AW13" s="7">
        <v>0</v>
      </c>
      <c r="AX13" s="11" t="e">
        <f t="shared" si="22"/>
        <v>#DIV/0!</v>
      </c>
      <c r="AY13" s="11" t="e">
        <f t="shared" si="23"/>
        <v>#DIV/0!</v>
      </c>
    </row>
    <row r="14" spans="2:52" x14ac:dyDescent="0.35">
      <c r="B14" s="3">
        <f t="shared" si="24"/>
        <v>8</v>
      </c>
      <c r="C14" s="3" t="s">
        <v>21</v>
      </c>
      <c r="D14" s="49">
        <v>0</v>
      </c>
      <c r="E14" s="7">
        <v>0</v>
      </c>
      <c r="F14" s="11">
        <f t="shared" si="0"/>
        <v>0</v>
      </c>
      <c r="G14" s="11">
        <f t="shared" si="1"/>
        <v>0</v>
      </c>
      <c r="H14" s="49"/>
      <c r="I14" s="7"/>
      <c r="J14" s="11">
        <f t="shared" si="2"/>
        <v>0</v>
      </c>
      <c r="K14" s="11">
        <f t="shared" si="3"/>
        <v>0</v>
      </c>
      <c r="L14" s="49">
        <v>0</v>
      </c>
      <c r="M14" s="7">
        <v>0</v>
      </c>
      <c r="N14" s="11">
        <f t="shared" si="4"/>
        <v>0</v>
      </c>
      <c r="O14" s="11">
        <f t="shared" si="5"/>
        <v>0</v>
      </c>
      <c r="P14" s="49"/>
      <c r="Q14" s="7"/>
      <c r="R14" s="11" t="e">
        <f t="shared" si="6"/>
        <v>#DIV/0!</v>
      </c>
      <c r="S14" s="11" t="e">
        <f t="shared" si="7"/>
        <v>#DIV/0!</v>
      </c>
      <c r="T14" s="49"/>
      <c r="U14" s="7"/>
      <c r="V14" s="11" t="e">
        <f t="shared" si="8"/>
        <v>#DIV/0!</v>
      </c>
      <c r="W14" s="11" t="e">
        <f t="shared" si="9"/>
        <v>#DIV/0!</v>
      </c>
      <c r="X14" s="49"/>
      <c r="Y14" s="7"/>
      <c r="Z14" s="11" t="e">
        <f t="shared" si="10"/>
        <v>#DIV/0!</v>
      </c>
      <c r="AA14" s="11" t="e">
        <f t="shared" si="11"/>
        <v>#DIV/0!</v>
      </c>
      <c r="AB14" s="49"/>
      <c r="AC14" s="7"/>
      <c r="AD14" s="11" t="e">
        <f t="shared" si="12"/>
        <v>#DIV/0!</v>
      </c>
      <c r="AE14" s="11" t="e">
        <f t="shared" si="13"/>
        <v>#DIV/0!</v>
      </c>
      <c r="AF14" s="49"/>
      <c r="AG14" s="7">
        <v>0</v>
      </c>
      <c r="AH14" s="11" t="e">
        <f t="shared" si="14"/>
        <v>#DIV/0!</v>
      </c>
      <c r="AI14" s="11" t="e">
        <f t="shared" si="15"/>
        <v>#DIV/0!</v>
      </c>
      <c r="AJ14" s="15">
        <v>0</v>
      </c>
      <c r="AK14" s="7">
        <v>0</v>
      </c>
      <c r="AL14" s="11" t="e">
        <f t="shared" si="16"/>
        <v>#DIV/0!</v>
      </c>
      <c r="AM14" s="11" t="e">
        <f t="shared" si="17"/>
        <v>#DIV/0!</v>
      </c>
      <c r="AN14" s="15">
        <v>0</v>
      </c>
      <c r="AO14" s="7">
        <v>0</v>
      </c>
      <c r="AP14" s="11" t="e">
        <f t="shared" si="18"/>
        <v>#DIV/0!</v>
      </c>
      <c r="AQ14" s="11" t="e">
        <f t="shared" si="19"/>
        <v>#DIV/0!</v>
      </c>
      <c r="AR14" s="15">
        <v>0</v>
      </c>
      <c r="AS14" s="7">
        <v>0</v>
      </c>
      <c r="AT14" s="11" t="e">
        <f t="shared" si="20"/>
        <v>#DIV/0!</v>
      </c>
      <c r="AU14" s="11" t="e">
        <f t="shared" si="21"/>
        <v>#DIV/0!</v>
      </c>
      <c r="AV14" s="15">
        <v>0</v>
      </c>
      <c r="AW14" s="7">
        <v>0</v>
      </c>
      <c r="AX14" s="11" t="e">
        <f t="shared" si="22"/>
        <v>#DIV/0!</v>
      </c>
      <c r="AY14" s="11" t="e">
        <f t="shared" si="23"/>
        <v>#DIV/0!</v>
      </c>
    </row>
    <row r="15" spans="2:52" x14ac:dyDescent="0.35">
      <c r="B15" s="3">
        <f t="shared" si="24"/>
        <v>9</v>
      </c>
      <c r="C15" s="3" t="s">
        <v>22</v>
      </c>
      <c r="D15" s="49">
        <v>0</v>
      </c>
      <c r="E15" s="7">
        <v>0</v>
      </c>
      <c r="F15" s="11">
        <f t="shared" si="0"/>
        <v>0</v>
      </c>
      <c r="G15" s="11">
        <f t="shared" si="1"/>
        <v>0</v>
      </c>
      <c r="H15" s="49"/>
      <c r="I15" s="7"/>
      <c r="J15" s="11">
        <f t="shared" si="2"/>
        <v>0</v>
      </c>
      <c r="K15" s="11">
        <f t="shared" si="3"/>
        <v>0</v>
      </c>
      <c r="L15" s="49">
        <v>0</v>
      </c>
      <c r="M15" s="7">
        <v>0</v>
      </c>
      <c r="N15" s="11">
        <f t="shared" si="4"/>
        <v>0</v>
      </c>
      <c r="O15" s="11">
        <f t="shared" si="5"/>
        <v>0</v>
      </c>
      <c r="P15" s="49"/>
      <c r="Q15" s="7"/>
      <c r="R15" s="11" t="e">
        <f t="shared" si="6"/>
        <v>#DIV/0!</v>
      </c>
      <c r="S15" s="11" t="e">
        <f t="shared" si="7"/>
        <v>#DIV/0!</v>
      </c>
      <c r="T15" s="49"/>
      <c r="U15" s="7"/>
      <c r="V15" s="11" t="e">
        <f t="shared" si="8"/>
        <v>#DIV/0!</v>
      </c>
      <c r="W15" s="11" t="e">
        <f t="shared" si="9"/>
        <v>#DIV/0!</v>
      </c>
      <c r="X15" s="49"/>
      <c r="Y15" s="7"/>
      <c r="Z15" s="11" t="e">
        <f t="shared" si="10"/>
        <v>#DIV/0!</v>
      </c>
      <c r="AA15" s="11" t="e">
        <f t="shared" si="11"/>
        <v>#DIV/0!</v>
      </c>
      <c r="AB15" s="49"/>
      <c r="AC15" s="7"/>
      <c r="AD15" s="11" t="e">
        <f t="shared" si="12"/>
        <v>#DIV/0!</v>
      </c>
      <c r="AE15" s="11" t="e">
        <f t="shared" si="13"/>
        <v>#DIV/0!</v>
      </c>
      <c r="AF15" s="49"/>
      <c r="AG15" s="7">
        <v>0</v>
      </c>
      <c r="AH15" s="11" t="e">
        <f t="shared" si="14"/>
        <v>#DIV/0!</v>
      </c>
      <c r="AI15" s="11" t="e">
        <f t="shared" si="15"/>
        <v>#DIV/0!</v>
      </c>
      <c r="AJ15" s="15">
        <v>0</v>
      </c>
      <c r="AK15" s="7">
        <v>0</v>
      </c>
      <c r="AL15" s="11" t="e">
        <f t="shared" si="16"/>
        <v>#DIV/0!</v>
      </c>
      <c r="AM15" s="11" t="e">
        <f t="shared" si="17"/>
        <v>#DIV/0!</v>
      </c>
      <c r="AN15" s="15">
        <v>0</v>
      </c>
      <c r="AO15" s="7">
        <v>0</v>
      </c>
      <c r="AP15" s="11" t="e">
        <f t="shared" si="18"/>
        <v>#DIV/0!</v>
      </c>
      <c r="AQ15" s="11" t="e">
        <f t="shared" si="19"/>
        <v>#DIV/0!</v>
      </c>
      <c r="AR15" s="15">
        <v>0</v>
      </c>
      <c r="AS15" s="7">
        <v>0</v>
      </c>
      <c r="AT15" s="11" t="e">
        <f t="shared" si="20"/>
        <v>#DIV/0!</v>
      </c>
      <c r="AU15" s="11" t="e">
        <f t="shared" si="21"/>
        <v>#DIV/0!</v>
      </c>
      <c r="AV15" s="15">
        <v>0</v>
      </c>
      <c r="AW15" s="7">
        <v>0</v>
      </c>
      <c r="AX15" s="11" t="e">
        <f t="shared" si="22"/>
        <v>#DIV/0!</v>
      </c>
      <c r="AY15" s="11" t="e">
        <f t="shared" si="23"/>
        <v>#DIV/0!</v>
      </c>
    </row>
    <row r="16" spans="2:52" x14ac:dyDescent="0.35">
      <c r="B16" s="3">
        <f t="shared" si="24"/>
        <v>10</v>
      </c>
      <c r="C16" s="3" t="s">
        <v>29</v>
      </c>
      <c r="D16" s="49">
        <v>0</v>
      </c>
      <c r="E16" s="7">
        <v>0</v>
      </c>
      <c r="F16" s="11">
        <f t="shared" si="0"/>
        <v>0</v>
      </c>
      <c r="G16" s="11">
        <f t="shared" si="1"/>
        <v>0</v>
      </c>
      <c r="H16" s="49"/>
      <c r="I16" s="7"/>
      <c r="J16" s="11">
        <f t="shared" si="2"/>
        <v>0</v>
      </c>
      <c r="K16" s="11">
        <f t="shared" si="3"/>
        <v>0</v>
      </c>
      <c r="L16" s="49">
        <v>0</v>
      </c>
      <c r="M16" s="7">
        <v>0</v>
      </c>
      <c r="N16" s="11">
        <f t="shared" si="4"/>
        <v>0</v>
      </c>
      <c r="O16" s="11">
        <f t="shared" si="5"/>
        <v>0</v>
      </c>
      <c r="P16" s="49"/>
      <c r="Q16" s="7"/>
      <c r="R16" s="11" t="e">
        <f t="shared" si="6"/>
        <v>#DIV/0!</v>
      </c>
      <c r="S16" s="11" t="e">
        <f t="shared" si="7"/>
        <v>#DIV/0!</v>
      </c>
      <c r="T16" s="49"/>
      <c r="U16" s="7"/>
      <c r="V16" s="11" t="e">
        <f t="shared" si="8"/>
        <v>#DIV/0!</v>
      </c>
      <c r="W16" s="11" t="e">
        <f t="shared" si="9"/>
        <v>#DIV/0!</v>
      </c>
      <c r="X16" s="49"/>
      <c r="Y16" s="7"/>
      <c r="Z16" s="11" t="e">
        <f t="shared" si="10"/>
        <v>#DIV/0!</v>
      </c>
      <c r="AA16" s="11" t="e">
        <f t="shared" si="11"/>
        <v>#DIV/0!</v>
      </c>
      <c r="AB16" s="49"/>
      <c r="AC16" s="7"/>
      <c r="AD16" s="11" t="e">
        <f t="shared" si="12"/>
        <v>#DIV/0!</v>
      </c>
      <c r="AE16" s="11" t="e">
        <f t="shared" si="13"/>
        <v>#DIV/0!</v>
      </c>
      <c r="AF16" s="49"/>
      <c r="AG16" s="7">
        <v>0</v>
      </c>
      <c r="AH16" s="11" t="e">
        <f t="shared" si="14"/>
        <v>#DIV/0!</v>
      </c>
      <c r="AI16" s="11" t="e">
        <f t="shared" si="15"/>
        <v>#DIV/0!</v>
      </c>
      <c r="AJ16" s="15">
        <v>0</v>
      </c>
      <c r="AK16" s="7">
        <v>0</v>
      </c>
      <c r="AL16" s="11" t="e">
        <f t="shared" si="16"/>
        <v>#DIV/0!</v>
      </c>
      <c r="AM16" s="11" t="e">
        <f t="shared" si="17"/>
        <v>#DIV/0!</v>
      </c>
      <c r="AN16" s="15">
        <v>0</v>
      </c>
      <c r="AO16" s="7">
        <v>0</v>
      </c>
      <c r="AP16" s="11" t="e">
        <f t="shared" si="18"/>
        <v>#DIV/0!</v>
      </c>
      <c r="AQ16" s="11" t="e">
        <f t="shared" si="19"/>
        <v>#DIV/0!</v>
      </c>
      <c r="AR16" s="15">
        <v>0</v>
      </c>
      <c r="AS16" s="7">
        <v>0</v>
      </c>
      <c r="AT16" s="11" t="e">
        <f t="shared" si="20"/>
        <v>#DIV/0!</v>
      </c>
      <c r="AU16" s="11" t="e">
        <f t="shared" si="21"/>
        <v>#DIV/0!</v>
      </c>
      <c r="AV16" s="15">
        <v>0</v>
      </c>
      <c r="AW16" s="7">
        <v>0</v>
      </c>
      <c r="AX16" s="11" t="e">
        <f t="shared" si="22"/>
        <v>#DIV/0!</v>
      </c>
      <c r="AY16" s="11" t="e">
        <f t="shared" si="23"/>
        <v>#DIV/0!</v>
      </c>
    </row>
    <row r="17" spans="2:53" x14ac:dyDescent="0.35">
      <c r="B17" s="3">
        <f t="shared" si="24"/>
        <v>11</v>
      </c>
      <c r="C17" s="3" t="s">
        <v>53</v>
      </c>
      <c r="D17" s="49">
        <v>0</v>
      </c>
      <c r="E17" s="7">
        <v>0</v>
      </c>
      <c r="F17" s="11">
        <f t="shared" si="0"/>
        <v>0</v>
      </c>
      <c r="G17" s="11">
        <f t="shared" si="1"/>
        <v>0</v>
      </c>
      <c r="H17" s="49"/>
      <c r="I17" s="7"/>
      <c r="J17" s="11">
        <f t="shared" si="2"/>
        <v>0</v>
      </c>
      <c r="K17" s="11">
        <f t="shared" si="3"/>
        <v>0</v>
      </c>
      <c r="L17" s="49">
        <v>0</v>
      </c>
      <c r="M17" s="7">
        <v>0</v>
      </c>
      <c r="N17" s="11">
        <f t="shared" si="4"/>
        <v>0</v>
      </c>
      <c r="O17" s="11">
        <f t="shared" si="5"/>
        <v>0</v>
      </c>
      <c r="P17" s="49"/>
      <c r="Q17" s="7"/>
      <c r="R17" s="11" t="e">
        <f t="shared" si="6"/>
        <v>#DIV/0!</v>
      </c>
      <c r="S17" s="11" t="e">
        <f t="shared" si="7"/>
        <v>#DIV/0!</v>
      </c>
      <c r="T17" s="49"/>
      <c r="U17" s="7"/>
      <c r="V17" s="11" t="e">
        <f t="shared" si="8"/>
        <v>#DIV/0!</v>
      </c>
      <c r="W17" s="11" t="e">
        <f t="shared" si="9"/>
        <v>#DIV/0!</v>
      </c>
      <c r="X17" s="49"/>
      <c r="Y17" s="7"/>
      <c r="Z17" s="11" t="e">
        <f t="shared" si="10"/>
        <v>#DIV/0!</v>
      </c>
      <c r="AA17" s="11" t="e">
        <f t="shared" si="11"/>
        <v>#DIV/0!</v>
      </c>
      <c r="AB17" s="49"/>
      <c r="AC17" s="7"/>
      <c r="AD17" s="11" t="e">
        <f t="shared" si="12"/>
        <v>#DIV/0!</v>
      </c>
      <c r="AE17" s="11" t="e">
        <f t="shared" si="13"/>
        <v>#DIV/0!</v>
      </c>
      <c r="AF17" s="49"/>
      <c r="AG17" s="7">
        <v>0</v>
      </c>
      <c r="AH17" s="11" t="e">
        <f t="shared" si="14"/>
        <v>#DIV/0!</v>
      </c>
      <c r="AI17" s="11" t="e">
        <f t="shared" si="15"/>
        <v>#DIV/0!</v>
      </c>
      <c r="AJ17" s="15">
        <v>0</v>
      </c>
      <c r="AK17" s="7">
        <v>0</v>
      </c>
      <c r="AL17" s="11" t="e">
        <f t="shared" si="16"/>
        <v>#DIV/0!</v>
      </c>
      <c r="AM17" s="11" t="e">
        <f t="shared" si="17"/>
        <v>#DIV/0!</v>
      </c>
      <c r="AN17" s="15">
        <v>0</v>
      </c>
      <c r="AO17" s="7">
        <v>0</v>
      </c>
      <c r="AP17" s="11" t="e">
        <f t="shared" si="18"/>
        <v>#DIV/0!</v>
      </c>
      <c r="AQ17" s="11" t="e">
        <f t="shared" si="19"/>
        <v>#DIV/0!</v>
      </c>
      <c r="AR17" s="15">
        <v>0</v>
      </c>
      <c r="AS17" s="7">
        <v>0</v>
      </c>
      <c r="AT17" s="11" t="e">
        <f t="shared" si="20"/>
        <v>#DIV/0!</v>
      </c>
      <c r="AU17" s="11" t="e">
        <f t="shared" si="21"/>
        <v>#DIV/0!</v>
      </c>
      <c r="AV17" s="15">
        <v>0</v>
      </c>
      <c r="AW17" s="7">
        <v>0</v>
      </c>
      <c r="AX17" s="11" t="e">
        <f t="shared" si="22"/>
        <v>#DIV/0!</v>
      </c>
      <c r="AY17" s="11" t="e">
        <f t="shared" si="23"/>
        <v>#DIV/0!</v>
      </c>
    </row>
    <row r="18" spans="2:53" x14ac:dyDescent="0.35">
      <c r="B18" s="3">
        <f t="shared" si="24"/>
        <v>12</v>
      </c>
      <c r="C18" s="3" t="s">
        <v>54</v>
      </c>
      <c r="D18" s="49">
        <v>1</v>
      </c>
      <c r="E18" s="7">
        <v>2720000</v>
      </c>
      <c r="F18" s="11">
        <f t="shared" si="0"/>
        <v>0.16666666666666666</v>
      </c>
      <c r="G18" s="11">
        <f t="shared" si="1"/>
        <v>0.14569832914548841</v>
      </c>
      <c r="H18" s="49">
        <v>1</v>
      </c>
      <c r="I18" s="7">
        <v>3230000</v>
      </c>
      <c r="J18" s="11">
        <f t="shared" si="2"/>
        <v>0.16666666666666666</v>
      </c>
      <c r="K18" s="11">
        <f t="shared" si="3"/>
        <v>0.12815017327649125</v>
      </c>
      <c r="L18" s="49">
        <v>1</v>
      </c>
      <c r="M18" s="7">
        <v>2210000</v>
      </c>
      <c r="N18" s="11">
        <f t="shared" si="4"/>
        <v>0.16666666666666666</v>
      </c>
      <c r="O18" s="11">
        <f t="shared" si="5"/>
        <v>0.12967961506865391</v>
      </c>
      <c r="P18" s="49"/>
      <c r="Q18" s="7"/>
      <c r="R18" s="11" t="e">
        <f t="shared" si="6"/>
        <v>#DIV/0!</v>
      </c>
      <c r="S18" s="11" t="e">
        <f t="shared" si="7"/>
        <v>#DIV/0!</v>
      </c>
      <c r="T18" s="49"/>
      <c r="U18" s="7"/>
      <c r="V18" s="11" t="e">
        <f t="shared" si="8"/>
        <v>#DIV/0!</v>
      </c>
      <c r="W18" s="11" t="e">
        <f t="shared" si="9"/>
        <v>#DIV/0!</v>
      </c>
      <c r="X18" s="49"/>
      <c r="Y18" s="7"/>
      <c r="Z18" s="11" t="e">
        <f t="shared" si="10"/>
        <v>#DIV/0!</v>
      </c>
      <c r="AA18" s="11" t="e">
        <f t="shared" si="11"/>
        <v>#DIV/0!</v>
      </c>
      <c r="AB18" s="49"/>
      <c r="AC18" s="7"/>
      <c r="AD18" s="11" t="e">
        <f t="shared" si="12"/>
        <v>#DIV/0!</v>
      </c>
      <c r="AE18" s="11" t="e">
        <f t="shared" si="13"/>
        <v>#DIV/0!</v>
      </c>
      <c r="AF18" s="49"/>
      <c r="AG18" s="7"/>
      <c r="AH18" s="11" t="e">
        <f t="shared" si="14"/>
        <v>#DIV/0!</v>
      </c>
      <c r="AI18" s="11" t="e">
        <f t="shared" si="15"/>
        <v>#DIV/0!</v>
      </c>
      <c r="AJ18" s="7"/>
      <c r="AK18" s="7"/>
      <c r="AL18" s="11" t="e">
        <f t="shared" si="16"/>
        <v>#DIV/0!</v>
      </c>
      <c r="AM18" s="11" t="e">
        <f t="shared" si="17"/>
        <v>#DIV/0!</v>
      </c>
      <c r="AN18" s="15"/>
      <c r="AO18" s="7"/>
      <c r="AP18" s="11" t="e">
        <f t="shared" si="18"/>
        <v>#DIV/0!</v>
      </c>
      <c r="AQ18" s="11" t="e">
        <f t="shared" si="19"/>
        <v>#DIV/0!</v>
      </c>
      <c r="AR18" s="15"/>
      <c r="AS18" s="7"/>
      <c r="AT18" s="11" t="e">
        <f t="shared" si="20"/>
        <v>#DIV/0!</v>
      </c>
      <c r="AU18" s="11" t="e">
        <f t="shared" si="21"/>
        <v>#DIV/0!</v>
      </c>
      <c r="AV18" s="15"/>
      <c r="AW18" s="7"/>
      <c r="AX18" s="11" t="e">
        <f t="shared" si="22"/>
        <v>#DIV/0!</v>
      </c>
      <c r="AY18" s="11" t="e">
        <f t="shared" si="23"/>
        <v>#DIV/0!</v>
      </c>
    </row>
    <row r="19" spans="2:53" x14ac:dyDescent="0.35">
      <c r="B19" s="3">
        <f t="shared" si="24"/>
        <v>13</v>
      </c>
      <c r="C19" s="3" t="s">
        <v>23</v>
      </c>
      <c r="D19" s="49">
        <v>0</v>
      </c>
      <c r="E19" s="7"/>
      <c r="F19" s="11">
        <f t="shared" si="0"/>
        <v>0</v>
      </c>
      <c r="G19" s="11">
        <f t="shared" si="1"/>
        <v>0</v>
      </c>
      <c r="H19" s="49">
        <v>0</v>
      </c>
      <c r="I19" s="7">
        <v>0</v>
      </c>
      <c r="J19" s="11">
        <f t="shared" si="2"/>
        <v>0</v>
      </c>
      <c r="K19" s="11">
        <f t="shared" si="3"/>
        <v>0</v>
      </c>
      <c r="L19" s="49">
        <v>0</v>
      </c>
      <c r="M19" s="7">
        <v>0</v>
      </c>
      <c r="N19" s="11">
        <f t="shared" si="4"/>
        <v>0</v>
      </c>
      <c r="O19" s="11">
        <f t="shared" si="5"/>
        <v>0</v>
      </c>
      <c r="P19" s="49"/>
      <c r="Q19" s="7"/>
      <c r="R19" s="11" t="e">
        <f t="shared" si="6"/>
        <v>#DIV/0!</v>
      </c>
      <c r="S19" s="11" t="e">
        <f t="shared" si="7"/>
        <v>#DIV/0!</v>
      </c>
      <c r="T19" s="49"/>
      <c r="U19" s="7"/>
      <c r="V19" s="11" t="e">
        <f t="shared" si="8"/>
        <v>#DIV/0!</v>
      </c>
      <c r="W19" s="11" t="e">
        <f t="shared" si="9"/>
        <v>#DIV/0!</v>
      </c>
      <c r="X19" s="49"/>
      <c r="Y19" s="7"/>
      <c r="Z19" s="11" t="e">
        <f t="shared" si="10"/>
        <v>#DIV/0!</v>
      </c>
      <c r="AA19" s="11" t="e">
        <f t="shared" si="11"/>
        <v>#DIV/0!</v>
      </c>
      <c r="AB19" s="49"/>
      <c r="AC19" s="7"/>
      <c r="AD19" s="11" t="e">
        <f t="shared" si="12"/>
        <v>#DIV/0!</v>
      </c>
      <c r="AE19" s="11" t="e">
        <f t="shared" si="13"/>
        <v>#DIV/0!</v>
      </c>
      <c r="AF19" s="49"/>
      <c r="AG19" s="7">
        <v>0</v>
      </c>
      <c r="AH19" s="11" t="e">
        <f t="shared" si="14"/>
        <v>#DIV/0!</v>
      </c>
      <c r="AI19" s="11" t="e">
        <f t="shared" si="15"/>
        <v>#DIV/0!</v>
      </c>
      <c r="AJ19" s="15">
        <v>0</v>
      </c>
      <c r="AK19" s="7">
        <v>0</v>
      </c>
      <c r="AL19" s="11" t="e">
        <f t="shared" si="16"/>
        <v>#DIV/0!</v>
      </c>
      <c r="AM19" s="11" t="e">
        <f t="shared" si="17"/>
        <v>#DIV/0!</v>
      </c>
      <c r="AN19" s="15">
        <v>0</v>
      </c>
      <c r="AO19" s="7">
        <v>0</v>
      </c>
      <c r="AP19" s="11" t="e">
        <f t="shared" si="18"/>
        <v>#DIV/0!</v>
      </c>
      <c r="AQ19" s="11" t="e">
        <f t="shared" si="19"/>
        <v>#DIV/0!</v>
      </c>
      <c r="AR19" s="15">
        <v>0</v>
      </c>
      <c r="AS19" s="7">
        <v>0</v>
      </c>
      <c r="AT19" s="11" t="e">
        <f t="shared" si="20"/>
        <v>#DIV/0!</v>
      </c>
      <c r="AU19" s="11" t="e">
        <f t="shared" si="21"/>
        <v>#DIV/0!</v>
      </c>
      <c r="AV19" s="15">
        <v>0</v>
      </c>
      <c r="AW19" s="7">
        <v>0</v>
      </c>
      <c r="AX19" s="11" t="e">
        <f t="shared" si="22"/>
        <v>#DIV/0!</v>
      </c>
      <c r="AY19" s="11" t="e">
        <f t="shared" si="23"/>
        <v>#DIV/0!</v>
      </c>
    </row>
    <row r="20" spans="2:53" x14ac:dyDescent="0.35">
      <c r="B20" s="3">
        <f t="shared" si="24"/>
        <v>14</v>
      </c>
      <c r="C20" s="3" t="s">
        <v>24</v>
      </c>
      <c r="D20" s="49">
        <v>0</v>
      </c>
      <c r="E20" s="7"/>
      <c r="F20" s="11">
        <f t="shared" si="0"/>
        <v>0</v>
      </c>
      <c r="G20" s="11">
        <f t="shared" si="1"/>
        <v>0</v>
      </c>
      <c r="H20" s="49">
        <v>0</v>
      </c>
      <c r="I20" s="7">
        <v>0</v>
      </c>
      <c r="J20" s="11">
        <f t="shared" si="2"/>
        <v>0</v>
      </c>
      <c r="K20" s="11">
        <f t="shared" si="3"/>
        <v>0</v>
      </c>
      <c r="L20" s="49">
        <v>0</v>
      </c>
      <c r="M20" s="7">
        <v>0</v>
      </c>
      <c r="N20" s="11">
        <f t="shared" si="4"/>
        <v>0</v>
      </c>
      <c r="O20" s="11">
        <f t="shared" si="5"/>
        <v>0</v>
      </c>
      <c r="P20" s="49"/>
      <c r="Q20" s="7"/>
      <c r="R20" s="11" t="e">
        <f t="shared" si="6"/>
        <v>#DIV/0!</v>
      </c>
      <c r="S20" s="11" t="e">
        <f t="shared" si="7"/>
        <v>#DIV/0!</v>
      </c>
      <c r="T20" s="49">
        <v>0</v>
      </c>
      <c r="U20" s="7">
        <v>0</v>
      </c>
      <c r="V20" s="11" t="e">
        <f t="shared" si="8"/>
        <v>#DIV/0!</v>
      </c>
      <c r="W20" s="11" t="e">
        <f t="shared" si="9"/>
        <v>#DIV/0!</v>
      </c>
      <c r="X20" s="49">
        <v>0</v>
      </c>
      <c r="Y20" s="7">
        <v>0</v>
      </c>
      <c r="Z20" s="11" t="e">
        <f t="shared" si="10"/>
        <v>#DIV/0!</v>
      </c>
      <c r="AA20" s="11" t="e">
        <f t="shared" si="11"/>
        <v>#DIV/0!</v>
      </c>
      <c r="AB20" s="49">
        <v>0</v>
      </c>
      <c r="AC20" s="7">
        <v>0</v>
      </c>
      <c r="AD20" s="11" t="e">
        <f t="shared" si="12"/>
        <v>#DIV/0!</v>
      </c>
      <c r="AE20" s="11" t="e">
        <f t="shared" si="13"/>
        <v>#DIV/0!</v>
      </c>
      <c r="AF20" s="49">
        <v>0</v>
      </c>
      <c r="AG20" s="7">
        <v>0</v>
      </c>
      <c r="AH20" s="11" t="e">
        <f t="shared" si="14"/>
        <v>#DIV/0!</v>
      </c>
      <c r="AI20" s="11" t="e">
        <f t="shared" si="15"/>
        <v>#DIV/0!</v>
      </c>
      <c r="AJ20" s="15">
        <v>0</v>
      </c>
      <c r="AK20" s="7">
        <v>0</v>
      </c>
      <c r="AL20" s="11" t="e">
        <f t="shared" si="16"/>
        <v>#DIV/0!</v>
      </c>
      <c r="AM20" s="11" t="e">
        <f t="shared" si="17"/>
        <v>#DIV/0!</v>
      </c>
      <c r="AN20" s="15">
        <v>0</v>
      </c>
      <c r="AO20" s="7">
        <v>0</v>
      </c>
      <c r="AP20" s="11" t="e">
        <f t="shared" si="18"/>
        <v>#DIV/0!</v>
      </c>
      <c r="AQ20" s="11" t="e">
        <f t="shared" si="19"/>
        <v>#DIV/0!</v>
      </c>
      <c r="AR20" s="15">
        <v>0</v>
      </c>
      <c r="AS20" s="7">
        <v>0</v>
      </c>
      <c r="AT20" s="11" t="e">
        <f t="shared" si="20"/>
        <v>#DIV/0!</v>
      </c>
      <c r="AU20" s="11" t="e">
        <f t="shared" si="21"/>
        <v>#DIV/0!</v>
      </c>
      <c r="AV20" s="15">
        <v>0</v>
      </c>
      <c r="AW20" s="7">
        <v>0</v>
      </c>
      <c r="AX20" s="11" t="e">
        <f t="shared" si="22"/>
        <v>#DIV/0!</v>
      </c>
      <c r="AY20" s="11" t="e">
        <f t="shared" si="23"/>
        <v>#DIV/0!</v>
      </c>
    </row>
    <row r="21" spans="2:53" x14ac:dyDescent="0.35">
      <c r="B21" s="3">
        <f t="shared" si="24"/>
        <v>15</v>
      </c>
      <c r="C21" s="3" t="s">
        <v>25</v>
      </c>
      <c r="D21" s="49">
        <v>0</v>
      </c>
      <c r="E21" s="7"/>
      <c r="F21" s="11">
        <f t="shared" si="0"/>
        <v>0</v>
      </c>
      <c r="G21" s="11">
        <f t="shared" si="1"/>
        <v>0</v>
      </c>
      <c r="H21" s="49">
        <v>0</v>
      </c>
      <c r="I21" s="7">
        <v>0</v>
      </c>
      <c r="J21" s="11">
        <f t="shared" si="2"/>
        <v>0</v>
      </c>
      <c r="K21" s="11">
        <f t="shared" si="3"/>
        <v>0</v>
      </c>
      <c r="L21" s="49">
        <v>0</v>
      </c>
      <c r="M21" s="7">
        <v>0</v>
      </c>
      <c r="N21" s="11">
        <f t="shared" si="4"/>
        <v>0</v>
      </c>
      <c r="O21" s="11">
        <f t="shared" si="5"/>
        <v>0</v>
      </c>
      <c r="P21" s="49">
        <v>0</v>
      </c>
      <c r="Q21" s="7">
        <v>0</v>
      </c>
      <c r="R21" s="11" t="e">
        <f t="shared" si="6"/>
        <v>#DIV/0!</v>
      </c>
      <c r="S21" s="11" t="e">
        <f t="shared" si="7"/>
        <v>#DIV/0!</v>
      </c>
      <c r="T21" s="49">
        <v>0</v>
      </c>
      <c r="U21" s="7">
        <v>0</v>
      </c>
      <c r="V21" s="11" t="e">
        <f t="shared" si="8"/>
        <v>#DIV/0!</v>
      </c>
      <c r="W21" s="11" t="e">
        <f t="shared" si="9"/>
        <v>#DIV/0!</v>
      </c>
      <c r="X21" s="49">
        <v>0</v>
      </c>
      <c r="Y21" s="7">
        <v>0</v>
      </c>
      <c r="Z21" s="11" t="e">
        <f t="shared" si="10"/>
        <v>#DIV/0!</v>
      </c>
      <c r="AA21" s="11" t="e">
        <f t="shared" si="11"/>
        <v>#DIV/0!</v>
      </c>
      <c r="AB21" s="49">
        <v>0</v>
      </c>
      <c r="AC21" s="7">
        <v>0</v>
      </c>
      <c r="AD21" s="11" t="e">
        <f t="shared" si="12"/>
        <v>#DIV/0!</v>
      </c>
      <c r="AE21" s="11" t="e">
        <f t="shared" si="13"/>
        <v>#DIV/0!</v>
      </c>
      <c r="AF21" s="49">
        <v>0</v>
      </c>
      <c r="AG21" s="7">
        <v>0</v>
      </c>
      <c r="AH21" s="11" t="e">
        <f t="shared" si="14"/>
        <v>#DIV/0!</v>
      </c>
      <c r="AI21" s="11" t="e">
        <f t="shared" si="15"/>
        <v>#DIV/0!</v>
      </c>
      <c r="AJ21" s="15">
        <v>0</v>
      </c>
      <c r="AK21" s="7">
        <v>0</v>
      </c>
      <c r="AL21" s="11" t="e">
        <f t="shared" si="16"/>
        <v>#DIV/0!</v>
      </c>
      <c r="AM21" s="11" t="e">
        <f t="shared" si="17"/>
        <v>#DIV/0!</v>
      </c>
      <c r="AN21" s="15">
        <v>0</v>
      </c>
      <c r="AO21" s="7">
        <v>0</v>
      </c>
      <c r="AP21" s="11" t="e">
        <f t="shared" si="18"/>
        <v>#DIV/0!</v>
      </c>
      <c r="AQ21" s="11" t="e">
        <f t="shared" si="19"/>
        <v>#DIV/0!</v>
      </c>
      <c r="AR21" s="15">
        <v>0</v>
      </c>
      <c r="AS21" s="7">
        <v>0</v>
      </c>
      <c r="AT21" s="11" t="e">
        <f t="shared" si="20"/>
        <v>#DIV/0!</v>
      </c>
      <c r="AU21" s="11" t="e">
        <f t="shared" si="21"/>
        <v>#DIV/0!</v>
      </c>
      <c r="AV21" s="15">
        <v>0</v>
      </c>
      <c r="AW21" s="7">
        <v>0</v>
      </c>
      <c r="AX21" s="11" t="e">
        <f t="shared" si="22"/>
        <v>#DIV/0!</v>
      </c>
      <c r="AY21" s="11" t="e">
        <f t="shared" si="23"/>
        <v>#DIV/0!</v>
      </c>
    </row>
    <row r="22" spans="2:53" x14ac:dyDescent="0.35">
      <c r="B22" s="3">
        <f t="shared" si="24"/>
        <v>16</v>
      </c>
      <c r="C22" s="3" t="s">
        <v>26</v>
      </c>
      <c r="D22" s="49">
        <v>0</v>
      </c>
      <c r="E22" s="7">
        <v>0</v>
      </c>
      <c r="F22" s="11">
        <f t="shared" si="0"/>
        <v>0</v>
      </c>
      <c r="G22" s="11">
        <f t="shared" si="1"/>
        <v>0</v>
      </c>
      <c r="H22" s="49">
        <v>0</v>
      </c>
      <c r="I22" s="7">
        <v>0</v>
      </c>
      <c r="J22" s="11">
        <f t="shared" si="2"/>
        <v>0</v>
      </c>
      <c r="K22" s="11">
        <f t="shared" si="3"/>
        <v>0</v>
      </c>
      <c r="L22" s="49">
        <v>0</v>
      </c>
      <c r="M22" s="7">
        <v>0</v>
      </c>
      <c r="N22" s="11">
        <f t="shared" si="4"/>
        <v>0</v>
      </c>
      <c r="O22" s="11">
        <f t="shared" si="5"/>
        <v>0</v>
      </c>
      <c r="P22" s="49">
        <v>0</v>
      </c>
      <c r="Q22" s="7">
        <v>0</v>
      </c>
      <c r="R22" s="11" t="e">
        <f t="shared" si="6"/>
        <v>#DIV/0!</v>
      </c>
      <c r="S22" s="11" t="e">
        <f t="shared" si="7"/>
        <v>#DIV/0!</v>
      </c>
      <c r="T22" s="49">
        <v>0</v>
      </c>
      <c r="U22" s="7">
        <v>0</v>
      </c>
      <c r="V22" s="11" t="e">
        <f t="shared" si="8"/>
        <v>#DIV/0!</v>
      </c>
      <c r="W22" s="11" t="e">
        <f t="shared" si="9"/>
        <v>#DIV/0!</v>
      </c>
      <c r="X22" s="49">
        <v>0</v>
      </c>
      <c r="Y22" s="7">
        <v>0</v>
      </c>
      <c r="Z22" s="11" t="e">
        <f t="shared" si="10"/>
        <v>#DIV/0!</v>
      </c>
      <c r="AA22" s="11" t="e">
        <f t="shared" si="11"/>
        <v>#DIV/0!</v>
      </c>
      <c r="AB22" s="49">
        <v>0</v>
      </c>
      <c r="AC22" s="7">
        <v>0</v>
      </c>
      <c r="AD22" s="11" t="e">
        <f t="shared" si="12"/>
        <v>#DIV/0!</v>
      </c>
      <c r="AE22" s="11" t="e">
        <f t="shared" si="13"/>
        <v>#DIV/0!</v>
      </c>
      <c r="AF22" s="49">
        <v>0</v>
      </c>
      <c r="AG22" s="7">
        <v>0</v>
      </c>
      <c r="AH22" s="11" t="e">
        <f t="shared" si="14"/>
        <v>#DIV/0!</v>
      </c>
      <c r="AI22" s="11" t="e">
        <f t="shared" si="15"/>
        <v>#DIV/0!</v>
      </c>
      <c r="AJ22" s="15">
        <v>0</v>
      </c>
      <c r="AK22" s="7">
        <v>0</v>
      </c>
      <c r="AL22" s="11" t="e">
        <f t="shared" si="16"/>
        <v>#DIV/0!</v>
      </c>
      <c r="AM22" s="11" t="e">
        <f t="shared" si="17"/>
        <v>#DIV/0!</v>
      </c>
      <c r="AN22" s="15">
        <v>0</v>
      </c>
      <c r="AO22" s="7">
        <v>0</v>
      </c>
      <c r="AP22" s="11" t="e">
        <f t="shared" si="18"/>
        <v>#DIV/0!</v>
      </c>
      <c r="AQ22" s="11" t="e">
        <f t="shared" si="19"/>
        <v>#DIV/0!</v>
      </c>
      <c r="AR22" s="15">
        <v>0</v>
      </c>
      <c r="AS22" s="7">
        <v>0</v>
      </c>
      <c r="AT22" s="11" t="e">
        <f t="shared" si="20"/>
        <v>#DIV/0!</v>
      </c>
      <c r="AU22" s="11" t="e">
        <f t="shared" si="21"/>
        <v>#DIV/0!</v>
      </c>
      <c r="AV22" s="15">
        <v>0</v>
      </c>
      <c r="AW22" s="7">
        <v>0</v>
      </c>
      <c r="AX22" s="11" t="e">
        <f t="shared" si="22"/>
        <v>#DIV/0!</v>
      </c>
      <c r="AY22" s="11" t="e">
        <f t="shared" si="23"/>
        <v>#DIV/0!</v>
      </c>
    </row>
    <row r="23" spans="2:53" x14ac:dyDescent="0.35">
      <c r="B23" s="18"/>
      <c r="C23" s="18"/>
      <c r="D23" s="54"/>
      <c r="E23" s="17"/>
      <c r="F23" s="34"/>
      <c r="G23" s="34"/>
      <c r="H23" s="54"/>
      <c r="I23" s="17"/>
      <c r="J23" s="34"/>
      <c r="K23" s="34"/>
      <c r="L23" s="54"/>
      <c r="M23" s="17"/>
      <c r="N23" s="34"/>
      <c r="O23" s="34"/>
      <c r="P23" s="54"/>
      <c r="Q23" s="17"/>
      <c r="R23" s="34"/>
      <c r="S23" s="34"/>
      <c r="T23" s="54"/>
      <c r="U23" s="17"/>
      <c r="V23" s="34"/>
      <c r="W23" s="34"/>
      <c r="X23" s="54"/>
      <c r="Y23" s="17"/>
      <c r="Z23" s="34"/>
      <c r="AA23" s="34"/>
      <c r="AB23" s="54"/>
      <c r="AC23" s="17"/>
      <c r="AD23" s="34"/>
      <c r="AE23" s="34"/>
      <c r="AF23" s="60"/>
      <c r="AG23" s="17"/>
      <c r="AH23" s="34"/>
      <c r="AI23" s="34"/>
      <c r="AJ23" s="33"/>
      <c r="AK23" s="17"/>
      <c r="AL23" s="34"/>
      <c r="AM23" s="34"/>
      <c r="AN23" s="33"/>
      <c r="AO23" s="17"/>
      <c r="AP23" s="34"/>
      <c r="AQ23" s="34"/>
      <c r="AR23" s="33"/>
      <c r="AS23" s="17"/>
      <c r="AT23" s="34"/>
      <c r="AU23" s="34"/>
      <c r="AV23" s="33"/>
      <c r="AW23" s="17"/>
      <c r="AX23" s="34"/>
      <c r="AY23" s="34"/>
    </row>
    <row r="24" spans="2:53" x14ac:dyDescent="0.35">
      <c r="B24" s="4"/>
      <c r="C24" s="4" t="s">
        <v>12</v>
      </c>
      <c r="D24" s="51">
        <f t="shared" ref="D24:AM24" si="25">SUM(D7:D22)</f>
        <v>6</v>
      </c>
      <c r="E24" s="5">
        <f t="shared" si="25"/>
        <v>18668711</v>
      </c>
      <c r="F24" s="10">
        <f t="shared" si="25"/>
        <v>1</v>
      </c>
      <c r="G24" s="10">
        <f t="shared" si="25"/>
        <v>1</v>
      </c>
      <c r="H24" s="51">
        <f t="shared" si="25"/>
        <v>6</v>
      </c>
      <c r="I24" s="5">
        <f t="shared" si="25"/>
        <v>25204804</v>
      </c>
      <c r="J24" s="10">
        <f t="shared" si="25"/>
        <v>1</v>
      </c>
      <c r="K24" s="10">
        <f t="shared" si="25"/>
        <v>1</v>
      </c>
      <c r="L24" s="51">
        <f t="shared" si="25"/>
        <v>6</v>
      </c>
      <c r="M24" s="5">
        <f t="shared" si="25"/>
        <v>17042000</v>
      </c>
      <c r="N24" s="10">
        <f t="shared" si="25"/>
        <v>1</v>
      </c>
      <c r="O24" s="10">
        <f t="shared" si="25"/>
        <v>1</v>
      </c>
      <c r="P24" s="51">
        <f t="shared" si="25"/>
        <v>0</v>
      </c>
      <c r="Q24" s="5">
        <f t="shared" si="25"/>
        <v>0</v>
      </c>
      <c r="R24" s="10" t="e">
        <f t="shared" si="25"/>
        <v>#DIV/0!</v>
      </c>
      <c r="S24" s="10" t="e">
        <f t="shared" si="25"/>
        <v>#DIV/0!</v>
      </c>
      <c r="T24" s="51">
        <f t="shared" si="25"/>
        <v>0</v>
      </c>
      <c r="U24" s="5">
        <f t="shared" si="25"/>
        <v>0</v>
      </c>
      <c r="V24" s="10" t="e">
        <f t="shared" si="25"/>
        <v>#DIV/0!</v>
      </c>
      <c r="W24" s="10" t="e">
        <f t="shared" si="25"/>
        <v>#DIV/0!</v>
      </c>
      <c r="X24" s="51">
        <f t="shared" si="25"/>
        <v>0</v>
      </c>
      <c r="Y24" s="5">
        <f t="shared" si="25"/>
        <v>0</v>
      </c>
      <c r="Z24" s="10" t="e">
        <f t="shared" si="25"/>
        <v>#DIV/0!</v>
      </c>
      <c r="AA24" s="10" t="e">
        <f t="shared" si="25"/>
        <v>#DIV/0!</v>
      </c>
      <c r="AB24" s="51">
        <f t="shared" si="25"/>
        <v>0</v>
      </c>
      <c r="AC24" s="5">
        <f t="shared" si="25"/>
        <v>0</v>
      </c>
      <c r="AD24" s="10" t="e">
        <f t="shared" si="25"/>
        <v>#DIV/0!</v>
      </c>
      <c r="AE24" s="10" t="e">
        <f t="shared" si="25"/>
        <v>#DIV/0!</v>
      </c>
      <c r="AF24" s="61">
        <f t="shared" si="25"/>
        <v>0</v>
      </c>
      <c r="AG24" s="5">
        <f t="shared" si="25"/>
        <v>0</v>
      </c>
      <c r="AH24" s="10" t="e">
        <f t="shared" si="25"/>
        <v>#DIV/0!</v>
      </c>
      <c r="AI24" s="10" t="e">
        <f t="shared" si="25"/>
        <v>#DIV/0!</v>
      </c>
      <c r="AJ24" s="5">
        <f t="shared" si="25"/>
        <v>0</v>
      </c>
      <c r="AK24" s="5">
        <f t="shared" si="25"/>
        <v>0</v>
      </c>
      <c r="AL24" s="10" t="e">
        <f t="shared" si="25"/>
        <v>#DIV/0!</v>
      </c>
      <c r="AM24" s="10" t="e">
        <f t="shared" si="25"/>
        <v>#DIV/0!</v>
      </c>
      <c r="AN24" s="5">
        <f t="shared" ref="AN24:AU24" si="26">SUM(AN7:AN22)</f>
        <v>0</v>
      </c>
      <c r="AO24" s="5">
        <f t="shared" si="26"/>
        <v>0</v>
      </c>
      <c r="AP24" s="10" t="e">
        <f t="shared" si="26"/>
        <v>#DIV/0!</v>
      </c>
      <c r="AQ24" s="10" t="e">
        <f t="shared" si="26"/>
        <v>#DIV/0!</v>
      </c>
      <c r="AR24" s="5">
        <f t="shared" si="26"/>
        <v>0</v>
      </c>
      <c r="AS24" s="5">
        <f t="shared" si="26"/>
        <v>0</v>
      </c>
      <c r="AT24" s="10" t="e">
        <f t="shared" si="26"/>
        <v>#DIV/0!</v>
      </c>
      <c r="AU24" s="10" t="e">
        <f t="shared" si="26"/>
        <v>#DIV/0!</v>
      </c>
      <c r="AV24" s="5">
        <f>SUM(AV7:AV21)</f>
        <v>0</v>
      </c>
      <c r="AW24" s="5">
        <f>SUM(AW7:AW22)</f>
        <v>0</v>
      </c>
      <c r="AX24" s="10" t="e">
        <f>SUM(AX7:AX22)</f>
        <v>#DIV/0!</v>
      </c>
      <c r="AY24" s="10" t="e">
        <f>SUM(AY7:AY22)</f>
        <v>#DIV/0!</v>
      </c>
      <c r="BA24" s="8"/>
    </row>
    <row r="25" spans="2:53" x14ac:dyDescent="0.35">
      <c r="E25" s="1"/>
      <c r="F25" s="1"/>
      <c r="G25" s="1"/>
      <c r="H25" s="53"/>
      <c r="I25" s="1"/>
      <c r="J25" s="1"/>
      <c r="K25" s="1"/>
      <c r="L25" s="53"/>
      <c r="M25" s="1"/>
      <c r="N25" s="1"/>
      <c r="O25" s="1"/>
      <c r="P25" s="53"/>
      <c r="Q25" s="1"/>
      <c r="R25" s="1"/>
      <c r="S25" s="1"/>
      <c r="T25" s="53"/>
      <c r="U25" s="1"/>
      <c r="V25" s="1"/>
      <c r="W25" s="1"/>
      <c r="X25" s="53"/>
      <c r="Y25" s="1"/>
      <c r="Z25" s="1"/>
      <c r="AA25" s="1"/>
      <c r="AB25" s="53"/>
      <c r="AC25" s="1"/>
      <c r="AD25" s="1"/>
      <c r="AE25" s="1"/>
      <c r="AF25" s="62"/>
      <c r="AG25" s="1"/>
      <c r="AH25" s="1"/>
      <c r="AI25" s="1"/>
      <c r="AJ25" s="1"/>
      <c r="AK25" s="30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2:53" x14ac:dyDescent="0.35">
      <c r="E26" s="1"/>
      <c r="F26" s="1"/>
      <c r="G26" s="1"/>
      <c r="H26" s="53"/>
      <c r="I26" s="1"/>
      <c r="J26" s="1"/>
      <c r="K26" s="1"/>
      <c r="L26" s="53"/>
      <c r="M26" s="1"/>
      <c r="N26" s="1"/>
      <c r="O26" s="1"/>
      <c r="P26" s="53"/>
      <c r="Q26" s="1"/>
      <c r="R26" s="1"/>
      <c r="S26" s="1"/>
      <c r="T26" s="53"/>
      <c r="U26" s="1"/>
      <c r="V26" s="1"/>
      <c r="W26" s="1"/>
      <c r="X26" s="53"/>
      <c r="Y26" s="1"/>
      <c r="Z26" s="1"/>
      <c r="AA26" s="1"/>
      <c r="AB26" s="53"/>
      <c r="AC26" s="1"/>
      <c r="AD26" s="1"/>
      <c r="AE26" s="1"/>
      <c r="AF26" s="6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9" spans="2:53" x14ac:dyDescent="0.35">
      <c r="AK29" s="31"/>
    </row>
    <row r="30" spans="2:53" x14ac:dyDescent="0.35">
      <c r="AK30" s="31"/>
    </row>
    <row r="31" spans="2:53" x14ac:dyDescent="0.35">
      <c r="AK31" s="31"/>
    </row>
    <row r="32" spans="2:53" x14ac:dyDescent="0.35">
      <c r="AK32" s="31"/>
    </row>
    <row r="33" spans="37:37" x14ac:dyDescent="0.35">
      <c r="AK33" s="31"/>
    </row>
    <row r="34" spans="37:37" x14ac:dyDescent="0.35">
      <c r="AK34" s="31"/>
    </row>
    <row r="35" spans="37:37" x14ac:dyDescent="0.35">
      <c r="AK35" s="32"/>
    </row>
  </sheetData>
  <mergeCells count="12">
    <mergeCell ref="AV5:AY5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92D050"/>
  </sheetPr>
  <dimension ref="B1:BF25"/>
  <sheetViews>
    <sheetView zoomScale="70" zoomScaleNormal="70" workbookViewId="0">
      <pane xSplit="3" ySplit="6" topLeftCell="G7" activePane="bottomRight" state="frozen"/>
      <selection pane="topRight" activeCell="D1" sqref="D1"/>
      <selection pane="bottomLeft" activeCell="A7" sqref="A7"/>
      <selection pane="bottomRight" activeCell="M10" sqref="M10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bestFit="1" customWidth="1"/>
    <col min="9" max="9" width="14" customWidth="1"/>
    <col min="10" max="10" width="8.453125" bestFit="1" customWidth="1"/>
    <col min="11" max="11" width="12.26953125" bestFit="1" customWidth="1"/>
    <col min="12" max="12" width="7.453125" bestFit="1" customWidth="1"/>
    <col min="13" max="13" width="15.1796875" customWidth="1"/>
    <col min="14" max="14" width="12.26953125" bestFit="1" customWidth="1"/>
    <col min="15" max="15" width="8.7265625" bestFit="1" customWidth="1"/>
    <col min="16" max="16" width="7.453125" bestFit="1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7.453125" bestFit="1" customWidth="1"/>
    <col min="21" max="21" width="17.54296875" bestFit="1" customWidth="1"/>
    <col min="22" max="23" width="8.7265625" bestFit="1" customWidth="1"/>
    <col min="24" max="24" width="6.26953125" customWidth="1"/>
    <col min="25" max="25" width="15.26953125" bestFit="1" customWidth="1"/>
    <col min="26" max="26" width="13.453125" bestFit="1" customWidth="1"/>
    <col min="27" max="27" width="8.453125" bestFit="1" customWidth="1"/>
    <col min="28" max="28" width="6.26953125" customWidth="1"/>
    <col min="29" max="29" width="14.816406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7265625" bestFit="1" customWidth="1"/>
    <col min="36" max="36" width="6.26953125" customWidth="1"/>
    <col min="37" max="37" width="15.26953125" bestFit="1" customWidth="1"/>
    <col min="38" max="39" width="8.7265625" bestFit="1" customWidth="1"/>
    <col min="40" max="40" width="6.26953125" customWidth="1"/>
    <col min="41" max="41" width="16.81640625" bestFit="1" customWidth="1"/>
    <col min="42" max="43" width="8.7265625" bestFit="1" customWidth="1"/>
    <col min="44" max="44" width="6.26953125" customWidth="1"/>
    <col min="45" max="45" width="15.81640625" bestFit="1" customWidth="1"/>
    <col min="46" max="47" width="8.7265625" bestFit="1" customWidth="1"/>
    <col min="48" max="48" width="6.26953125" customWidth="1"/>
    <col min="49" max="49" width="16.453125" customWidth="1"/>
    <col min="50" max="50" width="8.7265625" bestFit="1" customWidth="1"/>
    <col min="51" max="51" width="8.1796875" customWidth="1"/>
    <col min="52" max="52" width="6.26953125" customWidth="1"/>
    <col min="53" max="53" width="15.81640625" bestFit="1" customWidth="1"/>
    <col min="54" max="54" width="8.1796875" customWidth="1"/>
    <col min="55" max="55" width="11.453125" customWidth="1"/>
    <col min="56" max="56" width="15.81640625" bestFit="1" customWidth="1"/>
    <col min="57" max="57" width="8.1796875" customWidth="1"/>
    <col min="58" max="58" width="8.26953125" customWidth="1"/>
  </cols>
  <sheetData>
    <row r="1" spans="2:58" x14ac:dyDescent="0.35">
      <c r="B1" t="s">
        <v>13</v>
      </c>
      <c r="BA1" s="8"/>
      <c r="BD1" s="8"/>
    </row>
    <row r="2" spans="2:58" x14ac:dyDescent="0.35">
      <c r="B2" t="s">
        <v>50</v>
      </c>
      <c r="BA2" s="8"/>
      <c r="BD2" s="8"/>
    </row>
    <row r="3" spans="2:58" x14ac:dyDescent="0.35">
      <c r="B3" t="s">
        <v>79</v>
      </c>
    </row>
    <row r="4" spans="2:58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  <c r="AZ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8" s="14" customFormat="1" ht="29" x14ac:dyDescent="0.35">
      <c r="B6" s="12"/>
      <c r="C6" s="26" t="s">
        <v>35</v>
      </c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14</v>
      </c>
      <c r="BA6" s="13" t="s">
        <v>15</v>
      </c>
      <c r="BB6" s="13" t="s">
        <v>27</v>
      </c>
      <c r="BC6" s="13" t="s">
        <v>28</v>
      </c>
      <c r="BD6" s="13" t="s">
        <v>32</v>
      </c>
      <c r="BE6" s="13" t="s">
        <v>27</v>
      </c>
      <c r="BF6" s="13" t="s">
        <v>28</v>
      </c>
    </row>
    <row r="7" spans="2:58" s="6" customFormat="1" x14ac:dyDescent="0.35">
      <c r="B7" s="23">
        <v>1</v>
      </c>
      <c r="C7" s="3" t="s">
        <v>31</v>
      </c>
      <c r="D7" s="7"/>
      <c r="E7" s="7"/>
      <c r="F7" s="11">
        <f t="shared" ref="F7:F22" si="0">D7/$D$24</f>
        <v>0</v>
      </c>
      <c r="G7" s="11">
        <f t="shared" ref="G7:G22" si="1">E7/$E$24</f>
        <v>0</v>
      </c>
      <c r="H7" s="24"/>
      <c r="I7" s="24"/>
      <c r="J7" s="11">
        <f t="shared" ref="J7:J22" si="2">H7/$H$24</f>
        <v>0</v>
      </c>
      <c r="K7" s="11">
        <f t="shared" ref="K7:K22" si="3">I7/$I$24</f>
        <v>0</v>
      </c>
      <c r="L7" s="7"/>
      <c r="M7" s="7"/>
      <c r="N7" s="11">
        <f t="shared" ref="N7:N22" si="4">L7/$L$24</f>
        <v>0</v>
      </c>
      <c r="O7" s="11">
        <f t="shared" ref="O7:O22" si="5">M7/$M$24</f>
        <v>0</v>
      </c>
      <c r="P7" s="7"/>
      <c r="Q7" s="7"/>
      <c r="R7" s="11" t="e">
        <f t="shared" ref="R7:R22" si="6">P7/$P$24</f>
        <v>#DIV/0!</v>
      </c>
      <c r="S7" s="11" t="e">
        <f t="shared" ref="S7:S22" si="7">Q7/$Q$24</f>
        <v>#DIV/0!</v>
      </c>
      <c r="T7" s="7"/>
      <c r="U7" s="7"/>
      <c r="V7" s="11" t="e">
        <f t="shared" ref="V7:V22" si="8">T7/$T$24</f>
        <v>#DIV/0!</v>
      </c>
      <c r="W7" s="11" t="e">
        <f t="shared" ref="W7:W22" si="9">U7/$U$24</f>
        <v>#DIV/0!</v>
      </c>
      <c r="X7" s="24">
        <v>0</v>
      </c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4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4"/>
      <c r="AL7" s="11" t="e">
        <f t="shared" ref="AL7:AL22" si="16">AJ7/$AJ$24</f>
        <v>#DIV/0!</v>
      </c>
      <c r="AM7" s="11" t="e">
        <f t="shared" ref="AM7:AM22" si="17">AK7/$AK$24</f>
        <v>#DIV/0!</v>
      </c>
      <c r="AN7" s="25"/>
      <c r="AO7" s="25"/>
      <c r="AP7" s="11" t="e">
        <f t="shared" ref="AP7:AP22" si="18">AN7/$AN$24</f>
        <v>#DIV/0!</v>
      </c>
      <c r="AQ7" s="11" t="e">
        <f t="shared" ref="AQ7:AQ22" si="19">AO7/$AO$24</f>
        <v>#DIV/0!</v>
      </c>
      <c r="AR7" s="24"/>
      <c r="AS7" s="24"/>
      <c r="AT7" s="11" t="e">
        <f t="shared" ref="AT7:AT22" si="20">AR7/$AN$24</f>
        <v>#DIV/0!</v>
      </c>
      <c r="AU7" s="11" t="e">
        <f t="shared" ref="AU7:AU22" si="21">AS7/$AO$24</f>
        <v>#DIV/0!</v>
      </c>
      <c r="AV7" s="24"/>
      <c r="AW7" s="25"/>
      <c r="AX7" s="11" t="e">
        <f t="shared" ref="AX7:AX22" si="22">AV7/$AN$24</f>
        <v>#DIV/0!</v>
      </c>
      <c r="AY7" s="11" t="e">
        <f t="shared" ref="AY7:AY22" si="23">AW7/$AO$24</f>
        <v>#DIV/0!</v>
      </c>
      <c r="AZ7" s="24"/>
      <c r="BA7" s="24"/>
      <c r="BB7" s="11" t="e">
        <f t="shared" ref="BB7:BB22" si="24">AZ7/$AN$24</f>
        <v>#DIV/0!</v>
      </c>
      <c r="BC7" s="11" t="e">
        <f t="shared" ref="BC7:BC22" si="25">BA7/$AO$24</f>
        <v>#DIV/0!</v>
      </c>
      <c r="BD7" s="19">
        <f t="shared" ref="BD7:BD22" si="26">E7+I7+M7+Q7+Y7+AC7+AG7+AK7+AO7+AS7+AW7+BA7</f>
        <v>0</v>
      </c>
      <c r="BE7" s="11" t="e">
        <f t="shared" ref="BE7:BF22" si="27">AVERAGE(F7,J7,N7,R7,Z7,AD7,AH7,AL7,AP7,AT7,AX7,BB7)</f>
        <v>#DIV/0!</v>
      </c>
      <c r="BF7" s="11" t="e">
        <f t="shared" si="27"/>
        <v>#DIV/0!</v>
      </c>
    </row>
    <row r="8" spans="2:58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7"/>
      <c r="I8" s="7"/>
      <c r="J8" s="11">
        <f t="shared" si="2"/>
        <v>0</v>
      </c>
      <c r="K8" s="11">
        <f t="shared" si="3"/>
        <v>0</v>
      </c>
      <c r="L8" s="7"/>
      <c r="M8" s="7"/>
      <c r="N8" s="11">
        <f t="shared" si="4"/>
        <v>0</v>
      </c>
      <c r="O8" s="11">
        <f t="shared" si="5"/>
        <v>0</v>
      </c>
      <c r="P8" s="7"/>
      <c r="Q8" s="7"/>
      <c r="R8" s="11" t="e">
        <f t="shared" si="6"/>
        <v>#DIV/0!</v>
      </c>
      <c r="S8" s="11" t="e">
        <f t="shared" si="7"/>
        <v>#DIV/0!</v>
      </c>
      <c r="T8" s="7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20"/>
      <c r="AC8" s="7"/>
      <c r="AD8" s="11" t="e">
        <f t="shared" si="12"/>
        <v>#DIV/0!</v>
      </c>
      <c r="AE8" s="11" t="e">
        <f t="shared" si="13"/>
        <v>#DIV/0!</v>
      </c>
      <c r="AF8" s="7"/>
      <c r="AG8" s="20"/>
      <c r="AH8" s="11" t="e">
        <f t="shared" si="14"/>
        <v>#DIV/0!</v>
      </c>
      <c r="AI8" s="11" t="e">
        <f t="shared" si="15"/>
        <v>#DIV/0!</v>
      </c>
      <c r="AJ8" s="7"/>
      <c r="AK8" s="20"/>
      <c r="AL8" s="11" t="e">
        <f t="shared" si="16"/>
        <v>#DIV/0!</v>
      </c>
      <c r="AM8" s="11" t="e">
        <f t="shared" si="17"/>
        <v>#DIV/0!</v>
      </c>
      <c r="AN8" s="7"/>
      <c r="AO8" s="20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7"/>
      <c r="AW8" s="7"/>
      <c r="AX8" s="11" t="e">
        <f t="shared" si="22"/>
        <v>#DIV/0!</v>
      </c>
      <c r="AY8" s="11" t="e">
        <f t="shared" si="23"/>
        <v>#DIV/0!</v>
      </c>
      <c r="AZ8" s="20"/>
      <c r="BA8" s="20"/>
      <c r="BB8" s="11" t="e">
        <f t="shared" si="24"/>
        <v>#DIV/0!</v>
      </c>
      <c r="BC8" s="11" t="e">
        <f t="shared" si="25"/>
        <v>#DIV/0!</v>
      </c>
      <c r="BD8" s="19">
        <f t="shared" si="26"/>
        <v>0</v>
      </c>
      <c r="BE8" s="11" t="e">
        <f t="shared" si="27"/>
        <v>#DIV/0!</v>
      </c>
      <c r="BF8" s="11" t="e">
        <f t="shared" si="27"/>
        <v>#DIV/0!</v>
      </c>
    </row>
    <row r="9" spans="2:58" x14ac:dyDescent="0.35">
      <c r="B9" s="3">
        <f t="shared" ref="B9:B22" si="28">B8+1</f>
        <v>3</v>
      </c>
      <c r="C9" s="3" t="s">
        <v>18</v>
      </c>
      <c r="D9" s="7"/>
      <c r="E9" s="7"/>
      <c r="F9" s="11">
        <f t="shared" si="0"/>
        <v>0</v>
      </c>
      <c r="G9" s="11">
        <f t="shared" si="1"/>
        <v>0</v>
      </c>
      <c r="H9" s="7"/>
      <c r="I9" s="7"/>
      <c r="J9" s="11">
        <f t="shared" si="2"/>
        <v>0</v>
      </c>
      <c r="K9" s="11">
        <f t="shared" si="3"/>
        <v>0</v>
      </c>
      <c r="L9" s="7"/>
      <c r="M9" s="7"/>
      <c r="N9" s="11">
        <f t="shared" si="4"/>
        <v>0</v>
      </c>
      <c r="O9" s="11">
        <f t="shared" si="5"/>
        <v>0</v>
      </c>
      <c r="P9" s="7"/>
      <c r="Q9" s="7"/>
      <c r="R9" s="11" t="e">
        <f t="shared" si="6"/>
        <v>#DIV/0!</v>
      </c>
      <c r="S9" s="11" t="e">
        <f t="shared" si="7"/>
        <v>#DIV/0!</v>
      </c>
      <c r="T9" s="7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7"/>
      <c r="AG9" s="20"/>
      <c r="AH9" s="11" t="e">
        <f t="shared" si="14"/>
        <v>#DIV/0!</v>
      </c>
      <c r="AI9" s="11" t="e">
        <f t="shared" si="15"/>
        <v>#DIV/0!</v>
      </c>
      <c r="AJ9" s="7"/>
      <c r="AK9" s="20"/>
      <c r="AL9" s="11" t="e">
        <f t="shared" si="16"/>
        <v>#DIV/0!</v>
      </c>
      <c r="AM9" s="11" t="e">
        <f t="shared" si="17"/>
        <v>#DIV/0!</v>
      </c>
      <c r="AN9" s="7"/>
      <c r="AO9" s="20"/>
      <c r="AP9" s="11" t="e">
        <f t="shared" si="18"/>
        <v>#DIV/0!</v>
      </c>
      <c r="AQ9" s="11" t="e">
        <f t="shared" si="19"/>
        <v>#DIV/0!</v>
      </c>
      <c r="AR9" s="7"/>
      <c r="AS9" s="20"/>
      <c r="AT9" s="11" t="e">
        <f t="shared" si="20"/>
        <v>#DIV/0!</v>
      </c>
      <c r="AU9" s="11" t="e">
        <f t="shared" si="21"/>
        <v>#DIV/0!</v>
      </c>
      <c r="AV9" s="7"/>
      <c r="AW9" s="20"/>
      <c r="AX9" s="11" t="e">
        <f t="shared" si="22"/>
        <v>#DIV/0!</v>
      </c>
      <c r="AY9" s="11" t="e">
        <f t="shared" si="23"/>
        <v>#DIV/0!</v>
      </c>
      <c r="AZ9" s="20"/>
      <c r="BA9" s="20"/>
      <c r="BB9" s="11" t="e">
        <f t="shared" si="24"/>
        <v>#DIV/0!</v>
      </c>
      <c r="BC9" s="11" t="e">
        <f t="shared" si="25"/>
        <v>#DIV/0!</v>
      </c>
      <c r="BD9" s="19">
        <f t="shared" si="26"/>
        <v>0</v>
      </c>
      <c r="BE9" s="11" t="e">
        <f t="shared" si="27"/>
        <v>#DIV/0!</v>
      </c>
      <c r="BF9" s="11" t="e">
        <f t="shared" si="27"/>
        <v>#DIV/0!</v>
      </c>
    </row>
    <row r="10" spans="2:58" x14ac:dyDescent="0.35">
      <c r="B10" s="3">
        <f t="shared" si="28"/>
        <v>4</v>
      </c>
      <c r="C10" s="3" t="s">
        <v>19</v>
      </c>
      <c r="D10" s="7">
        <v>1</v>
      </c>
      <c r="E10" s="7">
        <v>6220335</v>
      </c>
      <c r="F10" s="11">
        <f t="shared" si="0"/>
        <v>1</v>
      </c>
      <c r="G10" s="11">
        <f t="shared" si="1"/>
        <v>1</v>
      </c>
      <c r="H10" s="7">
        <v>1</v>
      </c>
      <c r="I10" s="7">
        <v>6021335</v>
      </c>
      <c r="J10" s="11">
        <f t="shared" si="2"/>
        <v>1</v>
      </c>
      <c r="K10" s="11">
        <f t="shared" si="3"/>
        <v>1</v>
      </c>
      <c r="L10" s="7">
        <v>1</v>
      </c>
      <c r="M10" s="7">
        <v>5339430</v>
      </c>
      <c r="N10" s="11">
        <f t="shared" si="4"/>
        <v>1</v>
      </c>
      <c r="O10" s="11">
        <f t="shared" si="5"/>
        <v>1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7"/>
      <c r="AG10" s="7"/>
      <c r="AH10" s="11" t="e">
        <f t="shared" si="14"/>
        <v>#DIV/0!</v>
      </c>
      <c r="AI10" s="11" t="e">
        <f t="shared" si="15"/>
        <v>#DIV/0!</v>
      </c>
      <c r="AJ10" s="7"/>
      <c r="AK10" s="20"/>
      <c r="AL10" s="11" t="e">
        <f t="shared" si="16"/>
        <v>#DIV/0!</v>
      </c>
      <c r="AM10" s="11" t="e">
        <f t="shared" si="17"/>
        <v>#DIV/0!</v>
      </c>
      <c r="AN10" s="7"/>
      <c r="AO10" s="20"/>
      <c r="AP10" s="11" t="e">
        <f t="shared" si="18"/>
        <v>#DIV/0!</v>
      </c>
      <c r="AQ10" s="11" t="e">
        <f t="shared" si="19"/>
        <v>#DIV/0!</v>
      </c>
      <c r="AR10" s="7"/>
      <c r="AS10" s="20"/>
      <c r="AT10" s="11" t="e">
        <f t="shared" si="20"/>
        <v>#DIV/0!</v>
      </c>
      <c r="AU10" s="11" t="e">
        <f t="shared" si="21"/>
        <v>#DIV/0!</v>
      </c>
      <c r="AV10" s="7"/>
      <c r="AW10" s="20"/>
      <c r="AX10" s="11" t="e">
        <f t="shared" si="22"/>
        <v>#DIV/0!</v>
      </c>
      <c r="AY10" s="11" t="e">
        <f t="shared" si="23"/>
        <v>#DIV/0!</v>
      </c>
      <c r="AZ10" s="20"/>
      <c r="BA10" s="20"/>
      <c r="BB10" s="11" t="e">
        <f t="shared" si="24"/>
        <v>#DIV/0!</v>
      </c>
      <c r="BC10" s="11" t="e">
        <f t="shared" si="25"/>
        <v>#DIV/0!</v>
      </c>
      <c r="BD10" s="19">
        <f t="shared" si="26"/>
        <v>17581100</v>
      </c>
      <c r="BE10" s="11" t="e">
        <f t="shared" si="27"/>
        <v>#DIV/0!</v>
      </c>
      <c r="BF10" s="11" t="e">
        <f t="shared" si="27"/>
        <v>#DIV/0!</v>
      </c>
    </row>
    <row r="11" spans="2:58" x14ac:dyDescent="0.35">
      <c r="B11" s="3">
        <f t="shared" si="28"/>
        <v>5</v>
      </c>
      <c r="C11" s="3" t="s">
        <v>20</v>
      </c>
      <c r="D11" s="7"/>
      <c r="E11" s="7"/>
      <c r="F11" s="11">
        <f t="shared" si="0"/>
        <v>0</v>
      </c>
      <c r="G11" s="11">
        <f t="shared" si="1"/>
        <v>0</v>
      </c>
      <c r="H11" s="7"/>
      <c r="I11" s="7"/>
      <c r="J11" s="11">
        <f t="shared" si="2"/>
        <v>0</v>
      </c>
      <c r="K11" s="11">
        <f t="shared" si="3"/>
        <v>0</v>
      </c>
      <c r="L11" s="7"/>
      <c r="M11" s="7"/>
      <c r="N11" s="11">
        <f t="shared" si="4"/>
        <v>0</v>
      </c>
      <c r="O11" s="11">
        <f t="shared" si="5"/>
        <v>0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7"/>
      <c r="AK11" s="20"/>
      <c r="AL11" s="11" t="e">
        <f t="shared" si="16"/>
        <v>#DIV/0!</v>
      </c>
      <c r="AM11" s="11" t="e">
        <f t="shared" si="17"/>
        <v>#DIV/0!</v>
      </c>
      <c r="AN11" s="7"/>
      <c r="AO11" s="20"/>
      <c r="AP11" s="11" t="e">
        <f t="shared" si="18"/>
        <v>#DIV/0!</v>
      </c>
      <c r="AQ11" s="11" t="e">
        <f t="shared" si="19"/>
        <v>#DIV/0!</v>
      </c>
      <c r="AR11" s="7"/>
      <c r="AS11" s="20"/>
      <c r="AT11" s="11" t="e">
        <f t="shared" si="20"/>
        <v>#DIV/0!</v>
      </c>
      <c r="AU11" s="11" t="e">
        <f t="shared" si="21"/>
        <v>#DIV/0!</v>
      </c>
      <c r="AV11" s="7"/>
      <c r="AW11" s="20"/>
      <c r="AX11" s="11" t="e">
        <f t="shared" si="22"/>
        <v>#DIV/0!</v>
      </c>
      <c r="AY11" s="11" t="e">
        <f t="shared" si="23"/>
        <v>#DIV/0!</v>
      </c>
      <c r="AZ11" s="20"/>
      <c r="BA11" s="20"/>
      <c r="BB11" s="11" t="e">
        <f t="shared" si="24"/>
        <v>#DIV/0!</v>
      </c>
      <c r="BC11" s="11" t="e">
        <f t="shared" si="25"/>
        <v>#DIV/0!</v>
      </c>
      <c r="BD11" s="19">
        <f t="shared" si="26"/>
        <v>0</v>
      </c>
      <c r="BE11" s="11" t="e">
        <f t="shared" si="27"/>
        <v>#DIV/0!</v>
      </c>
      <c r="BF11" s="11" t="e">
        <f t="shared" si="27"/>
        <v>#DIV/0!</v>
      </c>
    </row>
    <row r="12" spans="2:58" x14ac:dyDescent="0.35">
      <c r="B12" s="3">
        <f t="shared" si="28"/>
        <v>6</v>
      </c>
      <c r="C12" s="3" t="s">
        <v>30</v>
      </c>
      <c r="D12" s="7"/>
      <c r="E12" s="7"/>
      <c r="F12" s="11">
        <f t="shared" si="0"/>
        <v>0</v>
      </c>
      <c r="G12" s="11">
        <f t="shared" si="1"/>
        <v>0</v>
      </c>
      <c r="H12" s="7"/>
      <c r="I12" s="7"/>
      <c r="J12" s="11">
        <f t="shared" si="2"/>
        <v>0</v>
      </c>
      <c r="K12" s="11">
        <f t="shared" si="3"/>
        <v>0</v>
      </c>
      <c r="L12" s="7"/>
      <c r="M12" s="7"/>
      <c r="N12" s="11">
        <f t="shared" si="4"/>
        <v>0</v>
      </c>
      <c r="O12" s="11">
        <f t="shared" si="5"/>
        <v>0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7"/>
      <c r="AG12" s="7"/>
      <c r="AH12" s="11" t="e">
        <f t="shared" si="14"/>
        <v>#DIV/0!</v>
      </c>
      <c r="AI12" s="11" t="e">
        <f t="shared" si="15"/>
        <v>#DIV/0!</v>
      </c>
      <c r="AJ12" s="7"/>
      <c r="AK12" s="20"/>
      <c r="AL12" s="11" t="e">
        <f t="shared" si="16"/>
        <v>#DIV/0!</v>
      </c>
      <c r="AM12" s="11" t="e">
        <f t="shared" si="17"/>
        <v>#DIV/0!</v>
      </c>
      <c r="AN12" s="7"/>
      <c r="AO12" s="20"/>
      <c r="AP12" s="11" t="e">
        <f t="shared" si="18"/>
        <v>#DIV/0!</v>
      </c>
      <c r="AQ12" s="11" t="e">
        <f t="shared" si="19"/>
        <v>#DIV/0!</v>
      </c>
      <c r="AR12" s="7"/>
      <c r="AS12" s="20"/>
      <c r="AT12" s="11" t="e">
        <f t="shared" si="20"/>
        <v>#DIV/0!</v>
      </c>
      <c r="AU12" s="11" t="e">
        <f t="shared" si="21"/>
        <v>#DIV/0!</v>
      </c>
      <c r="AV12" s="7"/>
      <c r="AW12" s="20"/>
      <c r="AX12" s="11" t="e">
        <f t="shared" si="22"/>
        <v>#DIV/0!</v>
      </c>
      <c r="AY12" s="11" t="e">
        <f t="shared" si="23"/>
        <v>#DIV/0!</v>
      </c>
      <c r="AZ12" s="20"/>
      <c r="BA12" s="20"/>
      <c r="BB12" s="11" t="e">
        <f t="shared" si="24"/>
        <v>#DIV/0!</v>
      </c>
      <c r="BC12" s="11" t="e">
        <f t="shared" si="25"/>
        <v>#DIV/0!</v>
      </c>
      <c r="BD12" s="19">
        <f>E12+I12+M12+Q12+Y12+AC12+AG12+AK12+AO12+AS12+AW12+BA12</f>
        <v>0</v>
      </c>
      <c r="BE12" s="11" t="e">
        <f t="shared" si="27"/>
        <v>#DIV/0!</v>
      </c>
      <c r="BF12" s="11" t="e">
        <f t="shared" si="27"/>
        <v>#DIV/0!</v>
      </c>
    </row>
    <row r="13" spans="2:58" x14ac:dyDescent="0.35">
      <c r="B13" s="3">
        <f>B12+1</f>
        <v>7</v>
      </c>
      <c r="C13" s="3" t="s">
        <v>39</v>
      </c>
      <c r="D13" s="7"/>
      <c r="E13" s="7"/>
      <c r="F13" s="11">
        <f t="shared" si="0"/>
        <v>0</v>
      </c>
      <c r="G13" s="11">
        <f t="shared" si="1"/>
        <v>0</v>
      </c>
      <c r="H13" s="7"/>
      <c r="I13" s="7"/>
      <c r="J13" s="11">
        <f t="shared" si="2"/>
        <v>0</v>
      </c>
      <c r="K13" s="11">
        <f t="shared" si="3"/>
        <v>0</v>
      </c>
      <c r="L13" s="7"/>
      <c r="M13" s="7"/>
      <c r="N13" s="11">
        <f t="shared" si="4"/>
        <v>0</v>
      </c>
      <c r="O13" s="11">
        <f t="shared" si="5"/>
        <v>0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7"/>
      <c r="AG13" s="7"/>
      <c r="AH13" s="11" t="e">
        <f t="shared" si="14"/>
        <v>#DIV/0!</v>
      </c>
      <c r="AI13" s="11" t="e">
        <f t="shared" si="15"/>
        <v>#DIV/0!</v>
      </c>
      <c r="AJ13" s="7"/>
      <c r="AK13" s="20"/>
      <c r="AL13" s="11" t="e">
        <f t="shared" si="16"/>
        <v>#DIV/0!</v>
      </c>
      <c r="AM13" s="11" t="e">
        <f t="shared" si="17"/>
        <v>#DIV/0!</v>
      </c>
      <c r="AN13" s="7"/>
      <c r="AO13" s="20"/>
      <c r="AP13" s="11" t="e">
        <f t="shared" si="18"/>
        <v>#DIV/0!</v>
      </c>
      <c r="AQ13" s="11" t="e">
        <f t="shared" si="19"/>
        <v>#DIV/0!</v>
      </c>
      <c r="AR13" s="7"/>
      <c r="AS13" s="20"/>
      <c r="AT13" s="11" t="e">
        <f t="shared" si="20"/>
        <v>#DIV/0!</v>
      </c>
      <c r="AU13" s="11" t="e">
        <f t="shared" si="21"/>
        <v>#DIV/0!</v>
      </c>
      <c r="AV13" s="7"/>
      <c r="AW13" s="20"/>
      <c r="AX13" s="11" t="e">
        <f t="shared" si="22"/>
        <v>#DIV/0!</v>
      </c>
      <c r="AY13" s="11" t="e">
        <f t="shared" si="23"/>
        <v>#DIV/0!</v>
      </c>
      <c r="AZ13" s="20"/>
      <c r="BA13" s="20"/>
      <c r="BB13" s="11" t="e">
        <f t="shared" si="24"/>
        <v>#DIV/0!</v>
      </c>
      <c r="BC13" s="11" t="e">
        <f t="shared" si="25"/>
        <v>#DIV/0!</v>
      </c>
      <c r="BD13" s="19">
        <f t="shared" ref="BD13" si="29">E13+I13+M13+Q13+Y13+AC13+AG13+AK13+AO13+AS13+AW13+BA13</f>
        <v>0</v>
      </c>
      <c r="BE13" s="11" t="e">
        <f t="shared" si="27"/>
        <v>#DIV/0!</v>
      </c>
      <c r="BF13" s="11" t="e">
        <f t="shared" si="27"/>
        <v>#DIV/0!</v>
      </c>
    </row>
    <row r="14" spans="2:58" x14ac:dyDescent="0.35">
      <c r="B14" s="3">
        <f>B13+1</f>
        <v>8</v>
      </c>
      <c r="C14" s="3" t="s">
        <v>21</v>
      </c>
      <c r="D14" s="7"/>
      <c r="E14" s="7"/>
      <c r="F14" s="11">
        <f t="shared" si="0"/>
        <v>0</v>
      </c>
      <c r="G14" s="11">
        <f t="shared" si="1"/>
        <v>0</v>
      </c>
      <c r="H14" s="7"/>
      <c r="I14" s="7"/>
      <c r="J14" s="11">
        <f t="shared" si="2"/>
        <v>0</v>
      </c>
      <c r="K14" s="11">
        <f t="shared" si="3"/>
        <v>0</v>
      </c>
      <c r="L14" s="7"/>
      <c r="M14" s="7"/>
      <c r="N14" s="11">
        <f t="shared" si="4"/>
        <v>0</v>
      </c>
      <c r="O14" s="11">
        <f t="shared" si="5"/>
        <v>0</v>
      </c>
      <c r="P14" s="7"/>
      <c r="Q14" s="7"/>
      <c r="R14" s="11" t="e">
        <f t="shared" si="6"/>
        <v>#DIV/0!</v>
      </c>
      <c r="S14" s="11" t="e">
        <f t="shared" si="7"/>
        <v>#DIV/0!</v>
      </c>
      <c r="T14" s="7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7"/>
      <c r="AG14" s="7"/>
      <c r="AH14" s="11" t="e">
        <f t="shared" si="14"/>
        <v>#DIV/0!</v>
      </c>
      <c r="AI14" s="11" t="e">
        <f t="shared" si="15"/>
        <v>#DIV/0!</v>
      </c>
      <c r="AJ14" s="7"/>
      <c r="AK14" s="20"/>
      <c r="AL14" s="11" t="e">
        <f t="shared" si="16"/>
        <v>#DIV/0!</v>
      </c>
      <c r="AM14" s="11" t="e">
        <f t="shared" si="17"/>
        <v>#DIV/0!</v>
      </c>
      <c r="AN14" s="7"/>
      <c r="AO14" s="20"/>
      <c r="AP14" s="11" t="e">
        <f t="shared" si="18"/>
        <v>#DIV/0!</v>
      </c>
      <c r="AQ14" s="11" t="e">
        <f t="shared" si="19"/>
        <v>#DIV/0!</v>
      </c>
      <c r="AR14" s="7"/>
      <c r="AS14" s="20"/>
      <c r="AT14" s="11" t="e">
        <f t="shared" si="20"/>
        <v>#DIV/0!</v>
      </c>
      <c r="AU14" s="11" t="e">
        <f t="shared" si="21"/>
        <v>#DIV/0!</v>
      </c>
      <c r="AV14" s="7"/>
      <c r="AW14" s="20"/>
      <c r="AX14" s="11" t="e">
        <f t="shared" si="22"/>
        <v>#DIV/0!</v>
      </c>
      <c r="AY14" s="11" t="e">
        <f t="shared" si="23"/>
        <v>#DIV/0!</v>
      </c>
      <c r="AZ14" s="20"/>
      <c r="BA14" s="20"/>
      <c r="BB14" s="11" t="e">
        <f t="shared" si="24"/>
        <v>#DIV/0!</v>
      </c>
      <c r="BC14" s="11" t="e">
        <f t="shared" si="25"/>
        <v>#DIV/0!</v>
      </c>
      <c r="BD14" s="19">
        <f t="shared" si="26"/>
        <v>0</v>
      </c>
      <c r="BE14" s="11" t="e">
        <f t="shared" si="27"/>
        <v>#DIV/0!</v>
      </c>
      <c r="BF14" s="11" t="e">
        <f t="shared" si="27"/>
        <v>#DIV/0!</v>
      </c>
    </row>
    <row r="15" spans="2:58" x14ac:dyDescent="0.35">
      <c r="B15" s="3">
        <f t="shared" si="28"/>
        <v>9</v>
      </c>
      <c r="C15" s="3" t="s">
        <v>22</v>
      </c>
      <c r="D15" s="7"/>
      <c r="E15" s="7"/>
      <c r="F15" s="11">
        <f t="shared" si="0"/>
        <v>0</v>
      </c>
      <c r="G15" s="11">
        <f t="shared" si="1"/>
        <v>0</v>
      </c>
      <c r="H15" s="7"/>
      <c r="I15" s="7"/>
      <c r="J15" s="11">
        <f t="shared" si="2"/>
        <v>0</v>
      </c>
      <c r="K15" s="11">
        <f t="shared" si="3"/>
        <v>0</v>
      </c>
      <c r="L15" s="7"/>
      <c r="M15" s="7"/>
      <c r="N15" s="11">
        <f t="shared" si="4"/>
        <v>0</v>
      </c>
      <c r="O15" s="11">
        <f t="shared" si="5"/>
        <v>0</v>
      </c>
      <c r="P15" s="7"/>
      <c r="Q15" s="7"/>
      <c r="R15" s="11" t="e">
        <f t="shared" si="6"/>
        <v>#DIV/0!</v>
      </c>
      <c r="S15" s="11" t="e">
        <f t="shared" si="7"/>
        <v>#DIV/0!</v>
      </c>
      <c r="T15" s="7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7"/>
      <c r="AG15" s="7"/>
      <c r="AH15" s="11" t="e">
        <f t="shared" si="14"/>
        <v>#DIV/0!</v>
      </c>
      <c r="AI15" s="11" t="e">
        <f t="shared" si="15"/>
        <v>#DIV/0!</v>
      </c>
      <c r="AJ15" s="7"/>
      <c r="AK15" s="20"/>
      <c r="AL15" s="11" t="e">
        <f t="shared" si="16"/>
        <v>#DIV/0!</v>
      </c>
      <c r="AM15" s="11" t="e">
        <f t="shared" si="17"/>
        <v>#DIV/0!</v>
      </c>
      <c r="AN15" s="7"/>
      <c r="AO15" s="20"/>
      <c r="AP15" s="11" t="e">
        <f t="shared" si="18"/>
        <v>#DIV/0!</v>
      </c>
      <c r="AQ15" s="11" t="e">
        <f t="shared" si="19"/>
        <v>#DIV/0!</v>
      </c>
      <c r="AR15" s="7"/>
      <c r="AS15" s="20"/>
      <c r="AT15" s="11" t="e">
        <f t="shared" si="20"/>
        <v>#DIV/0!</v>
      </c>
      <c r="AU15" s="11" t="e">
        <f t="shared" si="21"/>
        <v>#DIV/0!</v>
      </c>
      <c r="AV15" s="7"/>
      <c r="AW15" s="20"/>
      <c r="AX15" s="11" t="e">
        <f t="shared" si="22"/>
        <v>#DIV/0!</v>
      </c>
      <c r="AY15" s="11" t="e">
        <f t="shared" si="23"/>
        <v>#DIV/0!</v>
      </c>
      <c r="AZ15" s="20"/>
      <c r="BA15" s="20"/>
      <c r="BB15" s="11" t="e">
        <f t="shared" si="24"/>
        <v>#DIV/0!</v>
      </c>
      <c r="BC15" s="11" t="e">
        <f t="shared" si="25"/>
        <v>#DIV/0!</v>
      </c>
      <c r="BD15" s="19">
        <f t="shared" si="26"/>
        <v>0</v>
      </c>
      <c r="BE15" s="11" t="e">
        <f t="shared" si="27"/>
        <v>#DIV/0!</v>
      </c>
      <c r="BF15" s="11" t="e">
        <f t="shared" si="27"/>
        <v>#DIV/0!</v>
      </c>
    </row>
    <row r="16" spans="2:58" x14ac:dyDescent="0.35">
      <c r="B16" s="3">
        <f t="shared" si="28"/>
        <v>10</v>
      </c>
      <c r="C16" s="3" t="s">
        <v>29</v>
      </c>
      <c r="D16" s="7"/>
      <c r="E16" s="7"/>
      <c r="F16" s="11">
        <f t="shared" si="0"/>
        <v>0</v>
      </c>
      <c r="G16" s="11">
        <f t="shared" si="1"/>
        <v>0</v>
      </c>
      <c r="H16" s="7"/>
      <c r="I16" s="7"/>
      <c r="J16" s="11">
        <f t="shared" si="2"/>
        <v>0</v>
      </c>
      <c r="K16" s="11">
        <f t="shared" si="3"/>
        <v>0</v>
      </c>
      <c r="L16" s="7"/>
      <c r="M16" s="7"/>
      <c r="N16" s="11">
        <f t="shared" si="4"/>
        <v>0</v>
      </c>
      <c r="O16" s="11">
        <f t="shared" si="5"/>
        <v>0</v>
      </c>
      <c r="P16" s="7"/>
      <c r="Q16" s="7"/>
      <c r="R16" s="11" t="e">
        <f t="shared" si="6"/>
        <v>#DIV/0!</v>
      </c>
      <c r="S16" s="11" t="e">
        <f t="shared" si="7"/>
        <v>#DIV/0!</v>
      </c>
      <c r="T16" s="7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7"/>
      <c r="AG16" s="7"/>
      <c r="AH16" s="11" t="e">
        <f t="shared" si="14"/>
        <v>#DIV/0!</v>
      </c>
      <c r="AI16" s="11" t="e">
        <f t="shared" si="15"/>
        <v>#DIV/0!</v>
      </c>
      <c r="AJ16" s="7"/>
      <c r="AK16" s="20"/>
      <c r="AL16" s="11" t="e">
        <f t="shared" si="16"/>
        <v>#DIV/0!</v>
      </c>
      <c r="AM16" s="11" t="e">
        <f t="shared" si="17"/>
        <v>#DIV/0!</v>
      </c>
      <c r="AN16" s="7"/>
      <c r="AO16" s="20"/>
      <c r="AP16" s="11" t="e">
        <f t="shared" si="18"/>
        <v>#DIV/0!</v>
      </c>
      <c r="AQ16" s="11" t="e">
        <f t="shared" si="19"/>
        <v>#DIV/0!</v>
      </c>
      <c r="AR16" s="7"/>
      <c r="AS16" s="20"/>
      <c r="AT16" s="11" t="e">
        <f t="shared" si="20"/>
        <v>#DIV/0!</v>
      </c>
      <c r="AU16" s="11" t="e">
        <f t="shared" si="21"/>
        <v>#DIV/0!</v>
      </c>
      <c r="AV16" s="7"/>
      <c r="AW16" s="20"/>
      <c r="AX16" s="11" t="e">
        <f t="shared" si="22"/>
        <v>#DIV/0!</v>
      </c>
      <c r="AY16" s="11" t="e">
        <f t="shared" si="23"/>
        <v>#DIV/0!</v>
      </c>
      <c r="AZ16" s="20"/>
      <c r="BA16" s="20"/>
      <c r="BB16" s="11" t="e">
        <f t="shared" si="24"/>
        <v>#DIV/0!</v>
      </c>
      <c r="BC16" s="11" t="e">
        <f t="shared" si="25"/>
        <v>#DIV/0!</v>
      </c>
      <c r="BD16" s="19">
        <f t="shared" si="26"/>
        <v>0</v>
      </c>
      <c r="BE16" s="11" t="e">
        <f t="shared" si="27"/>
        <v>#DIV/0!</v>
      </c>
      <c r="BF16" s="11" t="e">
        <f t="shared" si="27"/>
        <v>#DIV/0!</v>
      </c>
    </row>
    <row r="17" spans="2:58" x14ac:dyDescent="0.35">
      <c r="B17" s="3">
        <f t="shared" si="28"/>
        <v>11</v>
      </c>
      <c r="C17" s="3" t="s">
        <v>40</v>
      </c>
      <c r="D17" s="7"/>
      <c r="E17" s="7"/>
      <c r="F17" s="11">
        <f t="shared" si="0"/>
        <v>0</v>
      </c>
      <c r="G17" s="11">
        <f t="shared" si="1"/>
        <v>0</v>
      </c>
      <c r="H17" s="7"/>
      <c r="I17" s="7"/>
      <c r="J17" s="11">
        <f t="shared" si="2"/>
        <v>0</v>
      </c>
      <c r="K17" s="11">
        <f t="shared" si="3"/>
        <v>0</v>
      </c>
      <c r="L17" s="7"/>
      <c r="M17" s="7"/>
      <c r="N17" s="11">
        <f t="shared" si="4"/>
        <v>0</v>
      </c>
      <c r="O17" s="11">
        <f t="shared" si="5"/>
        <v>0</v>
      </c>
      <c r="P17" s="7"/>
      <c r="Q17" s="7"/>
      <c r="R17" s="11" t="e">
        <f t="shared" si="6"/>
        <v>#DIV/0!</v>
      </c>
      <c r="S17" s="11" t="e">
        <f t="shared" si="7"/>
        <v>#DIV/0!</v>
      </c>
      <c r="T17" s="7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7"/>
      <c r="AD17" s="11" t="e">
        <f t="shared" si="12"/>
        <v>#DIV/0!</v>
      </c>
      <c r="AE17" s="11" t="e">
        <f t="shared" si="13"/>
        <v>#DIV/0!</v>
      </c>
      <c r="AF17" s="7"/>
      <c r="AG17" s="20"/>
      <c r="AH17" s="11" t="e">
        <f t="shared" si="14"/>
        <v>#DIV/0!</v>
      </c>
      <c r="AI17" s="11" t="e">
        <f t="shared" si="15"/>
        <v>#DIV/0!</v>
      </c>
      <c r="AJ17" s="7"/>
      <c r="AK17" s="20"/>
      <c r="AL17" s="11" t="e">
        <f t="shared" si="16"/>
        <v>#DIV/0!</v>
      </c>
      <c r="AM17" s="11" t="e">
        <f t="shared" si="17"/>
        <v>#DIV/0!</v>
      </c>
      <c r="AN17" s="7"/>
      <c r="AO17" s="20"/>
      <c r="AP17" s="11" t="e">
        <f t="shared" si="18"/>
        <v>#DIV/0!</v>
      </c>
      <c r="AQ17" s="11" t="e">
        <f t="shared" si="19"/>
        <v>#DIV/0!</v>
      </c>
      <c r="AR17" s="7"/>
      <c r="AS17" s="20"/>
      <c r="AT17" s="11" t="e">
        <f t="shared" si="20"/>
        <v>#DIV/0!</v>
      </c>
      <c r="AU17" s="11" t="e">
        <f t="shared" si="21"/>
        <v>#DIV/0!</v>
      </c>
      <c r="AV17" s="7"/>
      <c r="AW17" s="20"/>
      <c r="AX17" s="11" t="e">
        <f t="shared" si="22"/>
        <v>#DIV/0!</v>
      </c>
      <c r="AY17" s="11" t="e">
        <f t="shared" si="23"/>
        <v>#DIV/0!</v>
      </c>
      <c r="AZ17" s="20"/>
      <c r="BA17" s="20"/>
      <c r="BB17" s="11" t="e">
        <f t="shared" si="24"/>
        <v>#DIV/0!</v>
      </c>
      <c r="BC17" s="11" t="e">
        <f t="shared" si="25"/>
        <v>#DIV/0!</v>
      </c>
      <c r="BD17" s="19">
        <f t="shared" si="26"/>
        <v>0</v>
      </c>
      <c r="BE17" s="11" t="e">
        <f t="shared" si="27"/>
        <v>#DIV/0!</v>
      </c>
      <c r="BF17" s="11" t="e">
        <f t="shared" si="27"/>
        <v>#DIV/0!</v>
      </c>
    </row>
    <row r="18" spans="2:58" x14ac:dyDescent="0.35">
      <c r="B18" s="3">
        <f t="shared" si="28"/>
        <v>12</v>
      </c>
      <c r="C18" s="3" t="s">
        <v>41</v>
      </c>
      <c r="D18" s="7"/>
      <c r="E18" s="7"/>
      <c r="F18" s="11">
        <f t="shared" si="0"/>
        <v>0</v>
      </c>
      <c r="G18" s="11">
        <f t="shared" si="1"/>
        <v>0</v>
      </c>
      <c r="H18" s="7"/>
      <c r="I18" s="7"/>
      <c r="J18" s="11">
        <f t="shared" si="2"/>
        <v>0</v>
      </c>
      <c r="K18" s="11">
        <f t="shared" si="3"/>
        <v>0</v>
      </c>
      <c r="L18" s="7"/>
      <c r="M18" s="7"/>
      <c r="N18" s="11">
        <f t="shared" si="4"/>
        <v>0</v>
      </c>
      <c r="O18" s="11">
        <f t="shared" si="5"/>
        <v>0</v>
      </c>
      <c r="P18" s="7"/>
      <c r="Q18" s="7"/>
      <c r="R18" s="11" t="e">
        <f t="shared" si="6"/>
        <v>#DIV/0!</v>
      </c>
      <c r="S18" s="11" t="e">
        <f t="shared" si="7"/>
        <v>#DIV/0!</v>
      </c>
      <c r="T18" s="7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7"/>
      <c r="AG18" s="7"/>
      <c r="AH18" s="11" t="e">
        <f t="shared" si="14"/>
        <v>#DIV/0!</v>
      </c>
      <c r="AI18" s="11" t="e">
        <f t="shared" si="15"/>
        <v>#DIV/0!</v>
      </c>
      <c r="AJ18" s="7"/>
      <c r="AK18" s="20"/>
      <c r="AL18" s="11" t="e">
        <f t="shared" si="16"/>
        <v>#DIV/0!</v>
      </c>
      <c r="AM18" s="11" t="e">
        <f t="shared" si="17"/>
        <v>#DIV/0!</v>
      </c>
      <c r="AN18" s="7"/>
      <c r="AO18" s="20"/>
      <c r="AP18" s="11" t="e">
        <f t="shared" si="18"/>
        <v>#DIV/0!</v>
      </c>
      <c r="AQ18" s="11" t="e">
        <f t="shared" si="19"/>
        <v>#DIV/0!</v>
      </c>
      <c r="AR18" s="7"/>
      <c r="AS18" s="20"/>
      <c r="AT18" s="11" t="e">
        <f t="shared" si="20"/>
        <v>#DIV/0!</v>
      </c>
      <c r="AU18" s="11" t="e">
        <f t="shared" si="21"/>
        <v>#DIV/0!</v>
      </c>
      <c r="AV18" s="7"/>
      <c r="AW18" s="20"/>
      <c r="AX18" s="11" t="e">
        <f t="shared" si="22"/>
        <v>#DIV/0!</v>
      </c>
      <c r="AY18" s="11" t="e">
        <f t="shared" si="23"/>
        <v>#DIV/0!</v>
      </c>
      <c r="AZ18" s="20"/>
      <c r="BA18" s="20"/>
      <c r="BB18" s="11" t="e">
        <f t="shared" si="24"/>
        <v>#DIV/0!</v>
      </c>
      <c r="BC18" s="11" t="e">
        <f t="shared" si="25"/>
        <v>#DIV/0!</v>
      </c>
      <c r="BD18" s="19">
        <f t="shared" si="26"/>
        <v>0</v>
      </c>
      <c r="BE18" s="11" t="e">
        <f t="shared" si="27"/>
        <v>#DIV/0!</v>
      </c>
      <c r="BF18" s="11" t="e">
        <f t="shared" si="27"/>
        <v>#DIV/0!</v>
      </c>
    </row>
    <row r="19" spans="2:58" x14ac:dyDescent="0.35">
      <c r="B19" s="3">
        <f t="shared" si="28"/>
        <v>13</v>
      </c>
      <c r="C19" s="3" t="s">
        <v>23</v>
      </c>
      <c r="D19" s="7"/>
      <c r="E19" s="7"/>
      <c r="F19" s="11">
        <f t="shared" si="0"/>
        <v>0</v>
      </c>
      <c r="G19" s="11">
        <f t="shared" si="1"/>
        <v>0</v>
      </c>
      <c r="H19" s="7"/>
      <c r="I19" s="7"/>
      <c r="J19" s="11">
        <f t="shared" si="2"/>
        <v>0</v>
      </c>
      <c r="K19" s="11">
        <f t="shared" si="3"/>
        <v>0</v>
      </c>
      <c r="L19" s="7"/>
      <c r="M19" s="7"/>
      <c r="N19" s="11">
        <f t="shared" si="4"/>
        <v>0</v>
      </c>
      <c r="O19" s="11">
        <f t="shared" si="5"/>
        <v>0</v>
      </c>
      <c r="P19" s="7"/>
      <c r="Q19" s="7"/>
      <c r="R19" s="11" t="e">
        <f t="shared" si="6"/>
        <v>#DIV/0!</v>
      </c>
      <c r="S19" s="11" t="e">
        <f t="shared" si="7"/>
        <v>#DIV/0!</v>
      </c>
      <c r="T19" s="7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7"/>
      <c r="AG19" s="7"/>
      <c r="AH19" s="11" t="e">
        <f t="shared" si="14"/>
        <v>#DIV/0!</v>
      </c>
      <c r="AI19" s="11" t="e">
        <f t="shared" si="15"/>
        <v>#DIV/0!</v>
      </c>
      <c r="AJ19" s="7"/>
      <c r="AK19" s="20"/>
      <c r="AL19" s="11" t="e">
        <f t="shared" si="16"/>
        <v>#DIV/0!</v>
      </c>
      <c r="AM19" s="11" t="e">
        <f t="shared" si="17"/>
        <v>#DIV/0!</v>
      </c>
      <c r="AN19" s="7"/>
      <c r="AO19" s="20"/>
      <c r="AP19" s="11" t="e">
        <f t="shared" si="18"/>
        <v>#DIV/0!</v>
      </c>
      <c r="AQ19" s="11" t="e">
        <f t="shared" si="19"/>
        <v>#DIV/0!</v>
      </c>
      <c r="AR19" s="7"/>
      <c r="AS19" s="20"/>
      <c r="AT19" s="11" t="e">
        <f t="shared" si="20"/>
        <v>#DIV/0!</v>
      </c>
      <c r="AU19" s="11" t="e">
        <f t="shared" si="21"/>
        <v>#DIV/0!</v>
      </c>
      <c r="AV19" s="7"/>
      <c r="AW19" s="20"/>
      <c r="AX19" s="11" t="e">
        <f t="shared" si="22"/>
        <v>#DIV/0!</v>
      </c>
      <c r="AY19" s="11" t="e">
        <f t="shared" si="23"/>
        <v>#DIV/0!</v>
      </c>
      <c r="AZ19" s="20"/>
      <c r="BA19" s="20"/>
      <c r="BB19" s="11" t="e">
        <f t="shared" si="24"/>
        <v>#DIV/0!</v>
      </c>
      <c r="BC19" s="11" t="e">
        <f t="shared" si="25"/>
        <v>#DIV/0!</v>
      </c>
      <c r="BD19" s="19">
        <f t="shared" si="26"/>
        <v>0</v>
      </c>
      <c r="BE19" s="11" t="e">
        <f t="shared" si="27"/>
        <v>#DIV/0!</v>
      </c>
      <c r="BF19" s="11" t="e">
        <f t="shared" si="27"/>
        <v>#DIV/0!</v>
      </c>
    </row>
    <row r="20" spans="2:58" x14ac:dyDescent="0.35">
      <c r="B20" s="3">
        <f t="shared" si="28"/>
        <v>14</v>
      </c>
      <c r="C20" s="3" t="s">
        <v>24</v>
      </c>
      <c r="D20" s="7"/>
      <c r="E20" s="7"/>
      <c r="F20" s="11">
        <f t="shared" si="0"/>
        <v>0</v>
      </c>
      <c r="G20" s="11">
        <f t="shared" si="1"/>
        <v>0</v>
      </c>
      <c r="H20" s="7"/>
      <c r="I20" s="7"/>
      <c r="J20" s="11">
        <f t="shared" si="2"/>
        <v>0</v>
      </c>
      <c r="K20" s="11">
        <f t="shared" si="3"/>
        <v>0</v>
      </c>
      <c r="L20" s="7"/>
      <c r="M20" s="7"/>
      <c r="N20" s="11">
        <f t="shared" si="4"/>
        <v>0</v>
      </c>
      <c r="O20" s="11">
        <f t="shared" si="5"/>
        <v>0</v>
      </c>
      <c r="P20" s="7"/>
      <c r="Q20" s="7"/>
      <c r="R20" s="11" t="e">
        <f t="shared" si="6"/>
        <v>#DIV/0!</v>
      </c>
      <c r="S20" s="11" t="e">
        <f t="shared" si="7"/>
        <v>#DIV/0!</v>
      </c>
      <c r="T20" s="7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7"/>
      <c r="AG20" s="7"/>
      <c r="AH20" s="11" t="e">
        <f t="shared" si="14"/>
        <v>#DIV/0!</v>
      </c>
      <c r="AI20" s="11" t="e">
        <f t="shared" si="15"/>
        <v>#DIV/0!</v>
      </c>
      <c r="AJ20" s="7"/>
      <c r="AK20" s="20"/>
      <c r="AL20" s="11" t="e">
        <f t="shared" si="16"/>
        <v>#DIV/0!</v>
      </c>
      <c r="AM20" s="11" t="e">
        <f t="shared" si="17"/>
        <v>#DIV/0!</v>
      </c>
      <c r="AN20" s="7"/>
      <c r="AO20" s="20"/>
      <c r="AP20" s="11" t="e">
        <f t="shared" si="18"/>
        <v>#DIV/0!</v>
      </c>
      <c r="AQ20" s="11" t="e">
        <f t="shared" si="19"/>
        <v>#DIV/0!</v>
      </c>
      <c r="AR20" s="7"/>
      <c r="AS20" s="20"/>
      <c r="AT20" s="11" t="e">
        <f t="shared" si="20"/>
        <v>#DIV/0!</v>
      </c>
      <c r="AU20" s="11" t="e">
        <f t="shared" si="21"/>
        <v>#DIV/0!</v>
      </c>
      <c r="AV20" s="7"/>
      <c r="AW20" s="20"/>
      <c r="AX20" s="11" t="e">
        <f t="shared" si="22"/>
        <v>#DIV/0!</v>
      </c>
      <c r="AY20" s="11" t="e">
        <f t="shared" si="23"/>
        <v>#DIV/0!</v>
      </c>
      <c r="AZ20" s="20"/>
      <c r="BA20" s="20"/>
      <c r="BB20" s="11" t="e">
        <f t="shared" si="24"/>
        <v>#DIV/0!</v>
      </c>
      <c r="BC20" s="11" t="e">
        <f t="shared" si="25"/>
        <v>#DIV/0!</v>
      </c>
      <c r="BD20" s="19">
        <f t="shared" si="26"/>
        <v>0</v>
      </c>
      <c r="BE20" s="11" t="e">
        <f t="shared" si="27"/>
        <v>#DIV/0!</v>
      </c>
      <c r="BF20" s="11" t="e">
        <f t="shared" si="27"/>
        <v>#DIV/0!</v>
      </c>
    </row>
    <row r="21" spans="2:58" x14ac:dyDescent="0.35">
      <c r="B21" s="3">
        <f t="shared" si="28"/>
        <v>15</v>
      </c>
      <c r="C21" s="3" t="s">
        <v>25</v>
      </c>
      <c r="D21" s="7"/>
      <c r="E21" s="7"/>
      <c r="F21" s="11">
        <f t="shared" si="0"/>
        <v>0</v>
      </c>
      <c r="G21" s="11">
        <f t="shared" si="1"/>
        <v>0</v>
      </c>
      <c r="H21" s="7"/>
      <c r="I21" s="7"/>
      <c r="J21" s="11">
        <f t="shared" si="2"/>
        <v>0</v>
      </c>
      <c r="K21" s="11">
        <f t="shared" si="3"/>
        <v>0</v>
      </c>
      <c r="L21" s="7"/>
      <c r="M21" s="7"/>
      <c r="N21" s="11">
        <f t="shared" si="4"/>
        <v>0</v>
      </c>
      <c r="O21" s="11">
        <f t="shared" si="5"/>
        <v>0</v>
      </c>
      <c r="P21" s="7"/>
      <c r="Q21" s="7"/>
      <c r="R21" s="11" t="e">
        <f t="shared" si="6"/>
        <v>#DIV/0!</v>
      </c>
      <c r="S21" s="11" t="e">
        <f t="shared" si="7"/>
        <v>#DIV/0!</v>
      </c>
      <c r="T21" s="7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7"/>
      <c r="AK21" s="20"/>
      <c r="AL21" s="11" t="e">
        <f t="shared" si="16"/>
        <v>#DIV/0!</v>
      </c>
      <c r="AM21" s="11" t="e">
        <f t="shared" si="17"/>
        <v>#DIV/0!</v>
      </c>
      <c r="AN21" s="7"/>
      <c r="AO21" s="20"/>
      <c r="AP21" s="11" t="e">
        <f t="shared" si="18"/>
        <v>#DIV/0!</v>
      </c>
      <c r="AQ21" s="11" t="e">
        <f t="shared" si="19"/>
        <v>#DIV/0!</v>
      </c>
      <c r="AR21" s="7"/>
      <c r="AS21" s="20"/>
      <c r="AT21" s="11" t="e">
        <f t="shared" si="20"/>
        <v>#DIV/0!</v>
      </c>
      <c r="AU21" s="11" t="e">
        <f t="shared" si="21"/>
        <v>#DIV/0!</v>
      </c>
      <c r="AV21" s="7"/>
      <c r="AW21" s="20"/>
      <c r="AX21" s="11" t="e">
        <f t="shared" si="22"/>
        <v>#DIV/0!</v>
      </c>
      <c r="AY21" s="11" t="e">
        <f t="shared" si="23"/>
        <v>#DIV/0!</v>
      </c>
      <c r="AZ21" s="20"/>
      <c r="BA21" s="20"/>
      <c r="BB21" s="11" t="e">
        <f t="shared" si="24"/>
        <v>#DIV/0!</v>
      </c>
      <c r="BC21" s="11" t="e">
        <f t="shared" si="25"/>
        <v>#DIV/0!</v>
      </c>
      <c r="BD21" s="19">
        <f t="shared" si="26"/>
        <v>0</v>
      </c>
      <c r="BE21" s="11" t="e">
        <f t="shared" si="27"/>
        <v>#DIV/0!</v>
      </c>
      <c r="BF21" s="11" t="e">
        <f t="shared" si="27"/>
        <v>#DIV/0!</v>
      </c>
    </row>
    <row r="22" spans="2:58" x14ac:dyDescent="0.35">
      <c r="B22" s="3">
        <f t="shared" si="28"/>
        <v>16</v>
      </c>
      <c r="C22" s="3" t="s">
        <v>26</v>
      </c>
      <c r="D22" s="7"/>
      <c r="E22" s="7"/>
      <c r="F22" s="11">
        <f t="shared" si="0"/>
        <v>0</v>
      </c>
      <c r="G22" s="11">
        <f t="shared" si="1"/>
        <v>0</v>
      </c>
      <c r="H22" s="7"/>
      <c r="I22" s="7"/>
      <c r="J22" s="11">
        <f t="shared" si="2"/>
        <v>0</v>
      </c>
      <c r="K22" s="11">
        <f t="shared" si="3"/>
        <v>0</v>
      </c>
      <c r="L22" s="7"/>
      <c r="M22" s="7"/>
      <c r="N22" s="11">
        <f t="shared" si="4"/>
        <v>0</v>
      </c>
      <c r="O22" s="11">
        <f t="shared" si="5"/>
        <v>0</v>
      </c>
      <c r="P22" s="7"/>
      <c r="Q22" s="7"/>
      <c r="R22" s="11" t="e">
        <f t="shared" si="6"/>
        <v>#DIV/0!</v>
      </c>
      <c r="S22" s="11" t="e">
        <f t="shared" si="7"/>
        <v>#DIV/0!</v>
      </c>
      <c r="T22" s="7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7"/>
      <c r="AK22" s="20"/>
      <c r="AL22" s="11" t="e">
        <f t="shared" si="16"/>
        <v>#DIV/0!</v>
      </c>
      <c r="AM22" s="11" t="e">
        <f t="shared" si="17"/>
        <v>#DIV/0!</v>
      </c>
      <c r="AN22" s="7"/>
      <c r="AO22" s="20"/>
      <c r="AP22" s="11" t="e">
        <f t="shared" si="18"/>
        <v>#DIV/0!</v>
      </c>
      <c r="AQ22" s="11" t="e">
        <f t="shared" si="19"/>
        <v>#DIV/0!</v>
      </c>
      <c r="AR22" s="7"/>
      <c r="AS22" s="20"/>
      <c r="AT22" s="11" t="e">
        <f t="shared" si="20"/>
        <v>#DIV/0!</v>
      </c>
      <c r="AU22" s="11" t="e">
        <f t="shared" si="21"/>
        <v>#DIV/0!</v>
      </c>
      <c r="AV22" s="7"/>
      <c r="AW22" s="20"/>
      <c r="AX22" s="11" t="e">
        <f t="shared" si="22"/>
        <v>#DIV/0!</v>
      </c>
      <c r="AY22" s="11" t="e">
        <f t="shared" si="23"/>
        <v>#DIV/0!</v>
      </c>
      <c r="AZ22" s="20"/>
      <c r="BA22" s="20"/>
      <c r="BB22" s="11" t="e">
        <f t="shared" si="24"/>
        <v>#DIV/0!</v>
      </c>
      <c r="BC22" s="11" t="e">
        <f t="shared" si="25"/>
        <v>#DIV/0!</v>
      </c>
      <c r="BD22" s="19">
        <f t="shared" si="26"/>
        <v>0</v>
      </c>
      <c r="BE22" s="11" t="e">
        <f t="shared" si="27"/>
        <v>#DIV/0!</v>
      </c>
      <c r="BF22" s="11" t="e">
        <f t="shared" si="27"/>
        <v>#DIV/0!</v>
      </c>
    </row>
    <row r="23" spans="2:58" x14ac:dyDescent="0.35">
      <c r="B23" s="18"/>
      <c r="C23" s="18"/>
      <c r="D23" s="18"/>
      <c r="E23" s="17"/>
      <c r="F23" s="7"/>
      <c r="G23" s="7"/>
      <c r="H23" s="7"/>
      <c r="I23" s="7"/>
      <c r="J23" s="7"/>
      <c r="K23" s="7"/>
      <c r="L23" s="17"/>
      <c r="M23" s="17"/>
      <c r="N23" s="7"/>
      <c r="O23" s="7"/>
      <c r="P23" s="17"/>
      <c r="Q23" s="17"/>
      <c r="R23" s="7"/>
      <c r="S23" s="7"/>
      <c r="T23" s="7"/>
      <c r="U23" s="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17"/>
      <c r="BB23" s="7"/>
      <c r="BC23" s="7"/>
      <c r="BD23" s="17"/>
      <c r="BE23" s="7"/>
      <c r="BF23" s="7"/>
    </row>
    <row r="24" spans="2:58" x14ac:dyDescent="0.35">
      <c r="B24" s="4"/>
      <c r="C24" s="4" t="s">
        <v>12</v>
      </c>
      <c r="D24" s="5">
        <f t="shared" ref="D24:AQ24" si="30">SUM(D7:D23)</f>
        <v>1</v>
      </c>
      <c r="E24" s="5">
        <f t="shared" si="30"/>
        <v>6220335</v>
      </c>
      <c r="F24" s="10">
        <f t="shared" si="30"/>
        <v>1</v>
      </c>
      <c r="G24" s="10">
        <f t="shared" si="30"/>
        <v>1</v>
      </c>
      <c r="H24" s="5">
        <f t="shared" si="30"/>
        <v>1</v>
      </c>
      <c r="I24" s="5">
        <f t="shared" si="30"/>
        <v>6021335</v>
      </c>
      <c r="J24" s="10">
        <f t="shared" si="30"/>
        <v>1</v>
      </c>
      <c r="K24" s="10">
        <f t="shared" si="30"/>
        <v>1</v>
      </c>
      <c r="L24" s="5">
        <f t="shared" si="30"/>
        <v>1</v>
      </c>
      <c r="M24" s="5">
        <f t="shared" si="30"/>
        <v>5339430</v>
      </c>
      <c r="N24" s="10">
        <f t="shared" si="30"/>
        <v>1</v>
      </c>
      <c r="O24" s="10">
        <f t="shared" si="30"/>
        <v>1</v>
      </c>
      <c r="P24" s="5">
        <f t="shared" si="30"/>
        <v>0</v>
      </c>
      <c r="Q24" s="5">
        <f t="shared" si="30"/>
        <v>0</v>
      </c>
      <c r="R24" s="10" t="e">
        <f t="shared" si="30"/>
        <v>#DIV/0!</v>
      </c>
      <c r="S24" s="10" t="e">
        <f t="shared" si="30"/>
        <v>#DIV/0!</v>
      </c>
      <c r="T24" s="5">
        <f t="shared" si="30"/>
        <v>0</v>
      </c>
      <c r="U24" s="5">
        <f t="shared" si="30"/>
        <v>0</v>
      </c>
      <c r="V24" s="10" t="e">
        <f t="shared" si="30"/>
        <v>#DIV/0!</v>
      </c>
      <c r="W24" s="10" t="e">
        <f t="shared" si="30"/>
        <v>#DIV/0!</v>
      </c>
      <c r="X24" s="5">
        <f t="shared" si="30"/>
        <v>0</v>
      </c>
      <c r="Y24" s="5">
        <f t="shared" si="30"/>
        <v>0</v>
      </c>
      <c r="Z24" s="10" t="e">
        <f t="shared" si="30"/>
        <v>#DIV/0!</v>
      </c>
      <c r="AA24" s="10" t="e">
        <f t="shared" si="30"/>
        <v>#DIV/0!</v>
      </c>
      <c r="AB24" s="5">
        <f t="shared" si="30"/>
        <v>0</v>
      </c>
      <c r="AC24" s="5">
        <f t="shared" si="30"/>
        <v>0</v>
      </c>
      <c r="AD24" s="10" t="e">
        <f t="shared" si="30"/>
        <v>#DIV/0!</v>
      </c>
      <c r="AE24" s="10" t="e">
        <f t="shared" si="30"/>
        <v>#DIV/0!</v>
      </c>
      <c r="AF24" s="5">
        <f t="shared" si="30"/>
        <v>0</v>
      </c>
      <c r="AG24" s="5">
        <f t="shared" si="30"/>
        <v>0</v>
      </c>
      <c r="AH24" s="10" t="e">
        <f t="shared" si="30"/>
        <v>#DIV/0!</v>
      </c>
      <c r="AI24" s="10" t="e">
        <f t="shared" si="30"/>
        <v>#DIV/0!</v>
      </c>
      <c r="AJ24" s="5">
        <f t="shared" si="30"/>
        <v>0</v>
      </c>
      <c r="AK24" s="5">
        <f t="shared" si="30"/>
        <v>0</v>
      </c>
      <c r="AL24" s="10" t="e">
        <f t="shared" si="30"/>
        <v>#DIV/0!</v>
      </c>
      <c r="AM24" s="10" t="e">
        <f t="shared" si="30"/>
        <v>#DIV/0!</v>
      </c>
      <c r="AN24" s="5">
        <f t="shared" si="30"/>
        <v>0</v>
      </c>
      <c r="AO24" s="5">
        <f t="shared" si="30"/>
        <v>0</v>
      </c>
      <c r="AP24" s="10" t="e">
        <f t="shared" si="30"/>
        <v>#DIV/0!</v>
      </c>
      <c r="AQ24" s="10" t="e">
        <f t="shared" si="30"/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>SUM(AW7:AW23)</f>
        <v>0</v>
      </c>
      <c r="AX24" s="10" t="e">
        <f>SUM(AX7:AX23)</f>
        <v>#DIV/0!</v>
      </c>
      <c r="AY24" s="10" t="e">
        <f>SUM(AY7:AY23)</f>
        <v>#DIV/0!</v>
      </c>
      <c r="AZ24" s="5">
        <f>SUM(AZ7:AZ22)</f>
        <v>0</v>
      </c>
      <c r="BA24" s="5">
        <f t="shared" ref="BA24:BF24" si="31">SUM(BA7:BA23)</f>
        <v>0</v>
      </c>
      <c r="BB24" s="10" t="e">
        <f t="shared" si="31"/>
        <v>#DIV/0!</v>
      </c>
      <c r="BC24" s="10" t="e">
        <f t="shared" si="31"/>
        <v>#DIV/0!</v>
      </c>
      <c r="BD24" s="5">
        <f t="shared" si="31"/>
        <v>17581100</v>
      </c>
      <c r="BE24" s="10" t="e">
        <f t="shared" si="31"/>
        <v>#DIV/0!</v>
      </c>
      <c r="BF24" s="10" t="e">
        <f t="shared" si="31"/>
        <v>#DIV/0!</v>
      </c>
    </row>
    <row r="25" spans="2:58" x14ac:dyDescent="0.3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</sheetData>
  <mergeCells count="12">
    <mergeCell ref="AV5:AW5"/>
    <mergeCell ref="D5:G5"/>
    <mergeCell ref="H5:I5"/>
    <mergeCell ref="L5:M5"/>
    <mergeCell ref="P5:Q5"/>
    <mergeCell ref="T5:U5"/>
    <mergeCell ref="X5:Y5"/>
    <mergeCell ref="AB5:AC5"/>
    <mergeCell ref="AF5:AG5"/>
    <mergeCell ref="AJ5:AK5"/>
    <mergeCell ref="AN5:AO5"/>
    <mergeCell ref="AR5:AS5"/>
  </mergeCells>
  <conditionalFormatting sqref="E8:E9 E11:E21">
    <cfRule type="top10" dxfId="407" priority="257" bottom="1" rank="1"/>
    <cfRule type="top10" dxfId="406" priority="258" rank="1"/>
  </conditionalFormatting>
  <conditionalFormatting sqref="E22:E23 E7">
    <cfRule type="top10" dxfId="405" priority="56" rank="1"/>
    <cfRule type="top10" dxfId="404" priority="55" bottom="1" rank="1"/>
  </conditionalFormatting>
  <conditionalFormatting sqref="I7">
    <cfRule type="top10" dxfId="403" priority="53" bottom="1" rank="1"/>
    <cfRule type="top10" dxfId="402" priority="54" rank="1"/>
  </conditionalFormatting>
  <conditionalFormatting sqref="I8:I9 I11:I23">
    <cfRule type="top10" dxfId="401" priority="264" rank="1"/>
    <cfRule type="top10" dxfId="400" priority="263" bottom="1" rank="1"/>
  </conditionalFormatting>
  <conditionalFormatting sqref="M7:M9 M11:M22">
    <cfRule type="top10" dxfId="399" priority="269" bottom="1" rank="1"/>
    <cfRule type="top10" dxfId="398" priority="270" rank="1"/>
  </conditionalFormatting>
  <conditionalFormatting sqref="M10">
    <cfRule type="top10" dxfId="397" priority="5" bottom="1" rank="1"/>
    <cfRule type="top10" dxfId="396" priority="6" rank="1"/>
  </conditionalFormatting>
  <conditionalFormatting sqref="M23">
    <cfRule type="top10" dxfId="395" priority="51" bottom="1" rank="1"/>
    <cfRule type="top10" dxfId="394" priority="52" rank="1"/>
  </conditionalFormatting>
  <conditionalFormatting sqref="Q7:Q9 Q11:Q22">
    <cfRule type="top10" dxfId="393" priority="276" rank="1"/>
    <cfRule type="top10" dxfId="392" priority="275" bottom="1" rank="1"/>
  </conditionalFormatting>
  <conditionalFormatting sqref="Q10">
    <cfRule type="top10" dxfId="391" priority="3" bottom="1" rank="1"/>
    <cfRule type="top10" dxfId="390" priority="4" rank="1"/>
  </conditionalFormatting>
  <conditionalFormatting sqref="Q23">
    <cfRule type="top10" dxfId="389" priority="49" bottom="1" rank="1"/>
    <cfRule type="top10" dxfId="388" priority="50" rank="1"/>
  </conditionalFormatting>
  <conditionalFormatting sqref="U7:U9 U11:U23">
    <cfRule type="top10" dxfId="387" priority="281" bottom="1" rank="1"/>
    <cfRule type="top10" dxfId="386" priority="282" rank="1"/>
  </conditionalFormatting>
  <conditionalFormatting sqref="U10">
    <cfRule type="top10" dxfId="385" priority="2" rank="1"/>
    <cfRule type="top10" dxfId="384" priority="1" bottom="1" rank="1"/>
  </conditionalFormatting>
  <conditionalFormatting sqref="Y7:Y12 Y14:Y23">
    <cfRule type="top10" dxfId="383" priority="287" bottom="1" rank="1"/>
    <cfRule type="top10" dxfId="382" priority="288" rank="1"/>
  </conditionalFormatting>
  <conditionalFormatting sqref="Y13">
    <cfRule type="top10" dxfId="381" priority="30" rank="1"/>
    <cfRule type="top10" dxfId="380" priority="29" bottom="1" rank="1"/>
  </conditionalFormatting>
  <conditionalFormatting sqref="AC7:AC12 AC14:AC23">
    <cfRule type="top10" dxfId="379" priority="291" bottom="1" rank="1"/>
    <cfRule type="top10" dxfId="378" priority="292" rank="1"/>
  </conditionalFormatting>
  <conditionalFormatting sqref="AC13">
    <cfRule type="top10" dxfId="377" priority="28" rank="1"/>
    <cfRule type="top10" dxfId="376" priority="27" bottom="1" rank="1"/>
  </conditionalFormatting>
  <conditionalFormatting sqref="AG7:AG12 AG14:AG23">
    <cfRule type="top10" dxfId="375" priority="295" bottom="1" rank="1"/>
    <cfRule type="top10" dxfId="374" priority="296" rank="1"/>
  </conditionalFormatting>
  <conditionalFormatting sqref="AG13">
    <cfRule type="top10" dxfId="373" priority="26" rank="1"/>
    <cfRule type="top10" dxfId="372" priority="25" bottom="1" rank="1"/>
  </conditionalFormatting>
  <conditionalFormatting sqref="AK8:AK22">
    <cfRule type="top10" dxfId="371" priority="301" bottom="1" rank="1"/>
    <cfRule type="top10" dxfId="370" priority="302" rank="1"/>
  </conditionalFormatting>
  <conditionalFormatting sqref="AK23 AK7">
    <cfRule type="top10" dxfId="369" priority="42" rank="1"/>
    <cfRule type="top10" dxfId="368" priority="41" bottom="1" rank="1"/>
  </conditionalFormatting>
  <conditionalFormatting sqref="AO8:AO22">
    <cfRule type="top10" dxfId="367" priority="307" bottom="1" rank="1"/>
    <cfRule type="top10" dxfId="366" priority="308" rank="1"/>
  </conditionalFormatting>
  <conditionalFormatting sqref="AO23 AO7">
    <cfRule type="top10" dxfId="365" priority="40" rank="1"/>
    <cfRule type="top10" dxfId="364" priority="39" bottom="1" rank="1"/>
  </conditionalFormatting>
  <conditionalFormatting sqref="AS9:AS22">
    <cfRule type="top10" dxfId="363" priority="313" bottom="1" rank="1"/>
    <cfRule type="top10" dxfId="362" priority="314" rank="1"/>
  </conditionalFormatting>
  <conditionalFormatting sqref="AS23 AS7:AS8">
    <cfRule type="top10" dxfId="361" priority="38" rank="1"/>
    <cfRule type="top10" dxfId="360" priority="37" bottom="1" rank="1"/>
  </conditionalFormatting>
  <conditionalFormatting sqref="AW9:AW22">
    <cfRule type="top10" dxfId="359" priority="319" bottom="1" rank="1"/>
    <cfRule type="top10" dxfId="358" priority="320" rank="1"/>
  </conditionalFormatting>
  <conditionalFormatting sqref="AW23 AW7:AW8">
    <cfRule type="top10" dxfId="357" priority="35" bottom="1" rank="1"/>
    <cfRule type="top10" dxfId="356" priority="36" rank="1"/>
  </conditionalFormatting>
  <conditionalFormatting sqref="BA7:BA23">
    <cfRule type="top10" dxfId="355" priority="323" bottom="1" rank="1"/>
    <cfRule type="top10" dxfId="354" priority="324" rank="1"/>
  </conditionalFormatting>
  <conditionalFormatting sqref="BD7:BD23">
    <cfRule type="top10" dxfId="353" priority="327" bottom="1" rank="1"/>
    <cfRule type="top10" dxfId="352" priority="328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92D050"/>
  </sheetPr>
  <dimension ref="B1:BF30"/>
  <sheetViews>
    <sheetView zoomScale="85" zoomScaleNormal="85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I16" sqref="I16:I17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bestFit="1" customWidth="1"/>
    <col min="9" max="9" width="14" customWidth="1"/>
    <col min="10" max="10" width="8.453125" bestFit="1" customWidth="1"/>
    <col min="11" max="11" width="12.26953125" bestFit="1" customWidth="1"/>
    <col min="12" max="12" width="7.453125" bestFit="1" customWidth="1"/>
    <col min="13" max="13" width="15.1796875" customWidth="1"/>
    <col min="14" max="14" width="12.26953125" bestFit="1" customWidth="1"/>
    <col min="15" max="15" width="8.7265625" bestFit="1" customWidth="1"/>
    <col min="16" max="16" width="7.453125" bestFit="1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7.453125" bestFit="1" customWidth="1"/>
    <col min="21" max="21" width="17.54296875" bestFit="1" customWidth="1"/>
    <col min="22" max="23" width="8.7265625" bestFit="1" customWidth="1"/>
    <col min="24" max="24" width="6.26953125" customWidth="1"/>
    <col min="25" max="25" width="15.26953125" bestFit="1" customWidth="1"/>
    <col min="26" max="26" width="13.453125" bestFit="1" customWidth="1"/>
    <col min="27" max="27" width="8.453125" bestFit="1" customWidth="1"/>
    <col min="28" max="28" width="6.26953125" customWidth="1"/>
    <col min="29" max="29" width="14.81640625" bestFit="1" customWidth="1"/>
    <col min="30" max="31" width="8.1796875" customWidth="1"/>
    <col min="32" max="32" width="6.26953125" customWidth="1"/>
    <col min="33" max="33" width="13.453125" bestFit="1" customWidth="1"/>
    <col min="34" max="35" width="8.7265625" bestFit="1" customWidth="1"/>
    <col min="36" max="36" width="6.26953125" customWidth="1"/>
    <col min="37" max="37" width="15.26953125" bestFit="1" customWidth="1"/>
    <col min="38" max="39" width="8.1796875" customWidth="1"/>
    <col min="40" max="40" width="6.26953125" customWidth="1"/>
    <col min="41" max="41" width="16.81640625" bestFit="1" customWidth="1"/>
    <col min="42" max="43" width="8.1796875" customWidth="1"/>
    <col min="44" max="44" width="6.26953125" customWidth="1"/>
    <col min="45" max="45" width="15.81640625" bestFit="1" customWidth="1"/>
    <col min="46" max="47" width="8.1796875" customWidth="1"/>
    <col min="48" max="48" width="6.26953125" customWidth="1"/>
    <col min="49" max="49" width="16.453125" customWidth="1"/>
    <col min="50" max="51" width="8.1796875" customWidth="1"/>
    <col min="52" max="52" width="6.26953125" customWidth="1"/>
    <col min="53" max="53" width="15.81640625" bestFit="1" customWidth="1"/>
    <col min="54" max="54" width="8.1796875" customWidth="1"/>
    <col min="55" max="55" width="11.453125" customWidth="1"/>
    <col min="56" max="56" width="15.81640625" bestFit="1" customWidth="1"/>
    <col min="57" max="57" width="8.1796875" customWidth="1"/>
    <col min="58" max="58" width="8.26953125" customWidth="1"/>
  </cols>
  <sheetData>
    <row r="1" spans="2:58" x14ac:dyDescent="0.35">
      <c r="B1" t="s">
        <v>13</v>
      </c>
      <c r="BA1" s="8"/>
      <c r="BD1" s="8"/>
    </row>
    <row r="2" spans="2:58" x14ac:dyDescent="0.35">
      <c r="B2" t="s">
        <v>48</v>
      </c>
      <c r="BA2" s="8"/>
      <c r="BD2" s="8"/>
    </row>
    <row r="3" spans="2:58" x14ac:dyDescent="0.35">
      <c r="B3" t="s">
        <v>79</v>
      </c>
    </row>
    <row r="4" spans="2:58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  <c r="AZ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8" s="14" customFormat="1" ht="29" x14ac:dyDescent="0.35">
      <c r="B6" s="12"/>
      <c r="C6" s="26" t="s">
        <v>36</v>
      </c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14</v>
      </c>
      <c r="BA6" s="13" t="s">
        <v>15</v>
      </c>
      <c r="BB6" s="13" t="s">
        <v>27</v>
      </c>
      <c r="BC6" s="13" t="s">
        <v>28</v>
      </c>
      <c r="BD6" s="13" t="s">
        <v>32</v>
      </c>
      <c r="BE6" s="13" t="s">
        <v>27</v>
      </c>
      <c r="BF6" s="13" t="s">
        <v>28</v>
      </c>
    </row>
    <row r="7" spans="2:58" s="6" customFormat="1" x14ac:dyDescent="0.35">
      <c r="B7" s="23">
        <v>1</v>
      </c>
      <c r="C7" s="3" t="s">
        <v>31</v>
      </c>
      <c r="D7" s="7"/>
      <c r="E7" s="7"/>
      <c r="F7" s="11">
        <f t="shared" ref="F7:F22" si="0">D7/$D$24</f>
        <v>0</v>
      </c>
      <c r="G7" s="11">
        <f t="shared" ref="G7:G22" si="1">E7/$E$24</f>
        <v>0</v>
      </c>
      <c r="H7" s="24"/>
      <c r="I7" s="24"/>
      <c r="J7" s="11">
        <f t="shared" ref="J7:J22" si="2">H7/$H$24</f>
        <v>0</v>
      </c>
      <c r="K7" s="11">
        <f t="shared" ref="K7:K22" si="3">I7/$I$24</f>
        <v>0</v>
      </c>
      <c r="L7" s="7"/>
      <c r="M7" s="7"/>
      <c r="N7" s="11">
        <f t="shared" ref="N7:N22" si="4">L7/$L$24</f>
        <v>0</v>
      </c>
      <c r="O7" s="11">
        <f t="shared" ref="O7:O22" si="5">M7/$M$24</f>
        <v>0</v>
      </c>
      <c r="P7" s="7"/>
      <c r="Q7" s="7"/>
      <c r="R7" s="11" t="e">
        <f t="shared" ref="R7:R22" si="6">P7/$P$24</f>
        <v>#DIV/0!</v>
      </c>
      <c r="S7" s="11" t="e">
        <f t="shared" ref="S7:S22" si="7">Q7/$Q$24</f>
        <v>#DIV/0!</v>
      </c>
      <c r="T7" s="7"/>
      <c r="U7" s="7"/>
      <c r="V7" s="11" t="e">
        <f t="shared" ref="V7:V22" si="8">T7/$P$24</f>
        <v>#DIV/0!</v>
      </c>
      <c r="W7" s="11" t="e">
        <f t="shared" ref="W7:W22" si="9">U7/$Q$24</f>
        <v>#DIV/0!</v>
      </c>
      <c r="X7" s="24">
        <v>0</v>
      </c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4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4"/>
      <c r="AL7" s="11" t="e">
        <f t="shared" ref="AL7:AL22" si="16">AJ7/$AJ$24</f>
        <v>#DIV/0!</v>
      </c>
      <c r="AM7" s="11" t="e">
        <f t="shared" ref="AM7:AM22" si="17">AK7/$AK$24</f>
        <v>#DIV/0!</v>
      </c>
      <c r="AN7" s="25"/>
      <c r="AO7" s="25"/>
      <c r="AP7" s="11" t="e">
        <f t="shared" ref="AP7:AP22" si="18">AN7/$AN$24</f>
        <v>#DIV/0!</v>
      </c>
      <c r="AQ7" s="11" t="e">
        <f t="shared" ref="AQ7:AQ22" si="19">AO7/$AO$24</f>
        <v>#DIV/0!</v>
      </c>
      <c r="AR7" s="24"/>
      <c r="AS7" s="24"/>
      <c r="AT7" s="11" t="e">
        <f t="shared" ref="AT7:AT22" si="20">AR7/$AN$24</f>
        <v>#DIV/0!</v>
      </c>
      <c r="AU7" s="11" t="e">
        <f t="shared" ref="AU7:AU22" si="21">AS7/$AO$24</f>
        <v>#DIV/0!</v>
      </c>
      <c r="AV7" s="24"/>
      <c r="AW7" s="25"/>
      <c r="AX7" s="11" t="e">
        <f t="shared" ref="AX7:AX22" si="22">AV7/$AN$24</f>
        <v>#DIV/0!</v>
      </c>
      <c r="AY7" s="11" t="e">
        <f t="shared" ref="AY7:AY22" si="23">AW7/$AO$24</f>
        <v>#DIV/0!</v>
      </c>
      <c r="AZ7" s="24"/>
      <c r="BA7" s="24"/>
      <c r="BB7" s="11" t="e">
        <f t="shared" ref="BB7:BB22" si="24">AZ7/$AN$24</f>
        <v>#DIV/0!</v>
      </c>
      <c r="BC7" s="11" t="e">
        <f t="shared" ref="BC7:BC22" si="25">BA7/$AO$24</f>
        <v>#DIV/0!</v>
      </c>
      <c r="BD7" s="19">
        <f t="shared" ref="BD7:BD22" si="26">E7+I7+M7+Q7+Y7+AC7+AG7+AK7+AO7+AS7+AW7+BA7</f>
        <v>0</v>
      </c>
      <c r="BE7" s="11" t="e">
        <f t="shared" ref="BE7:BF22" si="27">AVERAGE(F7,J7,N7,R7,Z7,AD7,AH7,AL7,AP7,AT7,AX7,BB7)</f>
        <v>#DIV/0!</v>
      </c>
      <c r="BF7" s="11" t="e">
        <f t="shared" si="27"/>
        <v>#DIV/0!</v>
      </c>
    </row>
    <row r="8" spans="2:58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7"/>
      <c r="I8" s="7"/>
      <c r="J8" s="11">
        <f t="shared" si="2"/>
        <v>0</v>
      </c>
      <c r="K8" s="11">
        <f t="shared" si="3"/>
        <v>0</v>
      </c>
      <c r="L8" s="7"/>
      <c r="M8" s="7"/>
      <c r="N8" s="11">
        <f t="shared" si="4"/>
        <v>0</v>
      </c>
      <c r="O8" s="11">
        <f t="shared" si="5"/>
        <v>0</v>
      </c>
      <c r="P8" s="7"/>
      <c r="Q8" s="7"/>
      <c r="R8" s="11" t="e">
        <f t="shared" si="6"/>
        <v>#DIV/0!</v>
      </c>
      <c r="S8" s="11" t="e">
        <f t="shared" si="7"/>
        <v>#DIV/0!</v>
      </c>
      <c r="T8" s="7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20"/>
      <c r="AC8" s="7"/>
      <c r="AD8" s="11" t="e">
        <f t="shared" si="12"/>
        <v>#DIV/0!</v>
      </c>
      <c r="AE8" s="11" t="e">
        <f t="shared" si="13"/>
        <v>#DIV/0!</v>
      </c>
      <c r="AF8" s="7"/>
      <c r="AG8" s="20"/>
      <c r="AH8" s="11" t="e">
        <f t="shared" si="14"/>
        <v>#DIV/0!</v>
      </c>
      <c r="AI8" s="11" t="e">
        <f t="shared" si="15"/>
        <v>#DIV/0!</v>
      </c>
      <c r="AJ8" s="7"/>
      <c r="AK8" s="20"/>
      <c r="AL8" s="11" t="e">
        <f t="shared" si="16"/>
        <v>#DIV/0!</v>
      </c>
      <c r="AM8" s="11" t="e">
        <f t="shared" si="17"/>
        <v>#DIV/0!</v>
      </c>
      <c r="AN8" s="7"/>
      <c r="AO8" s="20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7"/>
      <c r="AW8" s="7"/>
      <c r="AX8" s="11" t="e">
        <f t="shared" si="22"/>
        <v>#DIV/0!</v>
      </c>
      <c r="AY8" s="11" t="e">
        <f t="shared" si="23"/>
        <v>#DIV/0!</v>
      </c>
      <c r="AZ8" s="20"/>
      <c r="BA8" s="20"/>
      <c r="BB8" s="11" t="e">
        <f t="shared" si="24"/>
        <v>#DIV/0!</v>
      </c>
      <c r="BC8" s="11" t="e">
        <f t="shared" si="25"/>
        <v>#DIV/0!</v>
      </c>
      <c r="BD8" s="19">
        <f t="shared" si="26"/>
        <v>0</v>
      </c>
      <c r="BE8" s="11" t="e">
        <f t="shared" si="27"/>
        <v>#DIV/0!</v>
      </c>
      <c r="BF8" s="11" t="e">
        <f t="shared" si="27"/>
        <v>#DIV/0!</v>
      </c>
    </row>
    <row r="9" spans="2:58" x14ac:dyDescent="0.35">
      <c r="B9" s="3">
        <f t="shared" ref="B9:B22" si="28">B8+1</f>
        <v>3</v>
      </c>
      <c r="C9" s="3" t="s">
        <v>18</v>
      </c>
      <c r="D9" s="7"/>
      <c r="E9" s="7"/>
      <c r="F9" s="11">
        <f t="shared" si="0"/>
        <v>0</v>
      </c>
      <c r="G9" s="11">
        <f t="shared" si="1"/>
        <v>0</v>
      </c>
      <c r="H9" s="7"/>
      <c r="I9" s="7"/>
      <c r="J9" s="11">
        <f t="shared" si="2"/>
        <v>0</v>
      </c>
      <c r="K9" s="11">
        <f t="shared" si="3"/>
        <v>0</v>
      </c>
      <c r="L9" s="7"/>
      <c r="M9" s="7"/>
      <c r="N9" s="11">
        <f t="shared" si="4"/>
        <v>0</v>
      </c>
      <c r="O9" s="11">
        <f t="shared" si="5"/>
        <v>0</v>
      </c>
      <c r="P9" s="7"/>
      <c r="Q9" s="7"/>
      <c r="R9" s="11" t="e">
        <f t="shared" si="6"/>
        <v>#DIV/0!</v>
      </c>
      <c r="S9" s="11" t="e">
        <f t="shared" si="7"/>
        <v>#DIV/0!</v>
      </c>
      <c r="T9" s="7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7"/>
      <c r="AG9" s="20"/>
      <c r="AH9" s="11" t="e">
        <f t="shared" si="14"/>
        <v>#DIV/0!</v>
      </c>
      <c r="AI9" s="11" t="e">
        <f t="shared" si="15"/>
        <v>#DIV/0!</v>
      </c>
      <c r="AJ9" s="7"/>
      <c r="AK9" s="20"/>
      <c r="AL9" s="11" t="e">
        <f t="shared" si="16"/>
        <v>#DIV/0!</v>
      </c>
      <c r="AM9" s="11" t="e">
        <f t="shared" si="17"/>
        <v>#DIV/0!</v>
      </c>
      <c r="AN9" s="7"/>
      <c r="AO9" s="20"/>
      <c r="AP9" s="11" t="e">
        <f t="shared" si="18"/>
        <v>#DIV/0!</v>
      </c>
      <c r="AQ9" s="11" t="e">
        <f t="shared" si="19"/>
        <v>#DIV/0!</v>
      </c>
      <c r="AR9" s="7"/>
      <c r="AS9" s="20"/>
      <c r="AT9" s="11" t="e">
        <f t="shared" si="20"/>
        <v>#DIV/0!</v>
      </c>
      <c r="AU9" s="11" t="e">
        <f t="shared" si="21"/>
        <v>#DIV/0!</v>
      </c>
      <c r="AV9" s="7"/>
      <c r="AW9" s="20"/>
      <c r="AX9" s="11" t="e">
        <f t="shared" si="22"/>
        <v>#DIV/0!</v>
      </c>
      <c r="AY9" s="11" t="e">
        <f t="shared" si="23"/>
        <v>#DIV/0!</v>
      </c>
      <c r="AZ9" s="20"/>
      <c r="BA9" s="20"/>
      <c r="BB9" s="11" t="e">
        <f t="shared" si="24"/>
        <v>#DIV/0!</v>
      </c>
      <c r="BC9" s="11" t="e">
        <f t="shared" si="25"/>
        <v>#DIV/0!</v>
      </c>
      <c r="BD9" s="19">
        <f t="shared" si="26"/>
        <v>0</v>
      </c>
      <c r="BE9" s="11" t="e">
        <f t="shared" si="27"/>
        <v>#DIV/0!</v>
      </c>
      <c r="BF9" s="11" t="e">
        <f t="shared" si="27"/>
        <v>#DIV/0!</v>
      </c>
    </row>
    <row r="10" spans="2:58" x14ac:dyDescent="0.35">
      <c r="B10" s="3">
        <f t="shared" si="28"/>
        <v>4</v>
      </c>
      <c r="C10" s="3" t="s">
        <v>19</v>
      </c>
      <c r="D10" s="7"/>
      <c r="E10" s="7"/>
      <c r="F10" s="11">
        <f t="shared" si="0"/>
        <v>0</v>
      </c>
      <c r="G10" s="11">
        <f t="shared" si="1"/>
        <v>0</v>
      </c>
      <c r="H10" s="7"/>
      <c r="I10" s="7"/>
      <c r="J10" s="11">
        <f t="shared" si="2"/>
        <v>0</v>
      </c>
      <c r="K10" s="11">
        <f t="shared" si="3"/>
        <v>0</v>
      </c>
      <c r="L10" s="7"/>
      <c r="M10" s="7"/>
      <c r="N10" s="11">
        <f t="shared" si="4"/>
        <v>0</v>
      </c>
      <c r="O10" s="11">
        <f t="shared" si="5"/>
        <v>0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7"/>
      <c r="AG10" s="7"/>
      <c r="AH10" s="11" t="e">
        <f t="shared" si="14"/>
        <v>#DIV/0!</v>
      </c>
      <c r="AI10" s="11" t="e">
        <f t="shared" si="15"/>
        <v>#DIV/0!</v>
      </c>
      <c r="AJ10" s="7"/>
      <c r="AK10" s="20"/>
      <c r="AL10" s="11" t="e">
        <f t="shared" si="16"/>
        <v>#DIV/0!</v>
      </c>
      <c r="AM10" s="11" t="e">
        <f t="shared" si="17"/>
        <v>#DIV/0!</v>
      </c>
      <c r="AN10" s="7"/>
      <c r="AO10" s="20"/>
      <c r="AP10" s="11" t="e">
        <f t="shared" si="18"/>
        <v>#DIV/0!</v>
      </c>
      <c r="AQ10" s="11" t="e">
        <f t="shared" si="19"/>
        <v>#DIV/0!</v>
      </c>
      <c r="AR10" s="7"/>
      <c r="AS10" s="20"/>
      <c r="AT10" s="11" t="e">
        <f t="shared" si="20"/>
        <v>#DIV/0!</v>
      </c>
      <c r="AU10" s="11" t="e">
        <f t="shared" si="21"/>
        <v>#DIV/0!</v>
      </c>
      <c r="AV10" s="7"/>
      <c r="AW10" s="20"/>
      <c r="AX10" s="11" t="e">
        <f t="shared" si="22"/>
        <v>#DIV/0!</v>
      </c>
      <c r="AY10" s="11" t="e">
        <f t="shared" si="23"/>
        <v>#DIV/0!</v>
      </c>
      <c r="AZ10" s="20"/>
      <c r="BA10" s="20"/>
      <c r="BB10" s="11" t="e">
        <f t="shared" si="24"/>
        <v>#DIV/0!</v>
      </c>
      <c r="BC10" s="11" t="e">
        <f t="shared" si="25"/>
        <v>#DIV/0!</v>
      </c>
      <c r="BD10" s="19">
        <f t="shared" si="26"/>
        <v>0</v>
      </c>
      <c r="BE10" s="11" t="e">
        <f t="shared" si="27"/>
        <v>#DIV/0!</v>
      </c>
      <c r="BF10" s="11" t="e">
        <f t="shared" si="27"/>
        <v>#DIV/0!</v>
      </c>
    </row>
    <row r="11" spans="2:58" x14ac:dyDescent="0.35">
      <c r="B11" s="3">
        <f t="shared" si="28"/>
        <v>5</v>
      </c>
      <c r="C11" s="3" t="s">
        <v>20</v>
      </c>
      <c r="D11" s="7"/>
      <c r="E11" s="7"/>
      <c r="F11" s="11">
        <f t="shared" si="0"/>
        <v>0</v>
      </c>
      <c r="G11" s="11">
        <f t="shared" si="1"/>
        <v>0</v>
      </c>
      <c r="H11" s="7"/>
      <c r="I11" s="7"/>
      <c r="J11" s="11">
        <f t="shared" si="2"/>
        <v>0</v>
      </c>
      <c r="K11" s="11">
        <f t="shared" si="3"/>
        <v>0</v>
      </c>
      <c r="L11" s="7"/>
      <c r="M11" s="7"/>
      <c r="N11" s="11">
        <f t="shared" si="4"/>
        <v>0</v>
      </c>
      <c r="O11" s="11">
        <f t="shared" si="5"/>
        <v>0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7"/>
      <c r="AK11" s="20"/>
      <c r="AL11" s="11" t="e">
        <f t="shared" si="16"/>
        <v>#DIV/0!</v>
      </c>
      <c r="AM11" s="11" t="e">
        <f t="shared" si="17"/>
        <v>#DIV/0!</v>
      </c>
      <c r="AN11" s="7"/>
      <c r="AO11" s="20"/>
      <c r="AP11" s="11" t="e">
        <f t="shared" si="18"/>
        <v>#DIV/0!</v>
      </c>
      <c r="AQ11" s="11" t="e">
        <f t="shared" si="19"/>
        <v>#DIV/0!</v>
      </c>
      <c r="AR11" s="7"/>
      <c r="AS11" s="20"/>
      <c r="AT11" s="11" t="e">
        <f t="shared" si="20"/>
        <v>#DIV/0!</v>
      </c>
      <c r="AU11" s="11" t="e">
        <f t="shared" si="21"/>
        <v>#DIV/0!</v>
      </c>
      <c r="AV11" s="7"/>
      <c r="AW11" s="20"/>
      <c r="AX11" s="11" t="e">
        <f t="shared" si="22"/>
        <v>#DIV/0!</v>
      </c>
      <c r="AY11" s="11" t="e">
        <f t="shared" si="23"/>
        <v>#DIV/0!</v>
      </c>
      <c r="AZ11" s="20"/>
      <c r="BA11" s="20"/>
      <c r="BB11" s="11" t="e">
        <f t="shared" si="24"/>
        <v>#DIV/0!</v>
      </c>
      <c r="BC11" s="11" t="e">
        <f t="shared" si="25"/>
        <v>#DIV/0!</v>
      </c>
      <c r="BD11" s="19">
        <f t="shared" si="26"/>
        <v>0</v>
      </c>
      <c r="BE11" s="11" t="e">
        <f t="shared" si="27"/>
        <v>#DIV/0!</v>
      </c>
      <c r="BF11" s="11" t="e">
        <f t="shared" si="27"/>
        <v>#DIV/0!</v>
      </c>
    </row>
    <row r="12" spans="2:58" x14ac:dyDescent="0.35">
      <c r="B12" s="3">
        <f t="shared" si="28"/>
        <v>6</v>
      </c>
      <c r="C12" s="3" t="s">
        <v>30</v>
      </c>
      <c r="D12" s="7"/>
      <c r="E12" s="7"/>
      <c r="F12" s="11">
        <f t="shared" si="0"/>
        <v>0</v>
      </c>
      <c r="G12" s="11">
        <f t="shared" si="1"/>
        <v>0</v>
      </c>
      <c r="H12" s="7"/>
      <c r="I12" s="7"/>
      <c r="J12" s="11">
        <f t="shared" si="2"/>
        <v>0</v>
      </c>
      <c r="K12" s="11">
        <f t="shared" si="3"/>
        <v>0</v>
      </c>
      <c r="L12" s="7"/>
      <c r="M12" s="7"/>
      <c r="N12" s="11">
        <f t="shared" si="4"/>
        <v>0</v>
      </c>
      <c r="O12" s="11">
        <f t="shared" si="5"/>
        <v>0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7"/>
      <c r="AG12" s="7"/>
      <c r="AH12" s="11" t="e">
        <f t="shared" si="14"/>
        <v>#DIV/0!</v>
      </c>
      <c r="AI12" s="11" t="e">
        <f t="shared" si="15"/>
        <v>#DIV/0!</v>
      </c>
      <c r="AJ12" s="7"/>
      <c r="AK12" s="20"/>
      <c r="AL12" s="11" t="e">
        <f t="shared" si="16"/>
        <v>#DIV/0!</v>
      </c>
      <c r="AM12" s="11" t="e">
        <f t="shared" si="17"/>
        <v>#DIV/0!</v>
      </c>
      <c r="AN12" s="7"/>
      <c r="AO12" s="20"/>
      <c r="AP12" s="11" t="e">
        <f t="shared" si="18"/>
        <v>#DIV/0!</v>
      </c>
      <c r="AQ12" s="11" t="e">
        <f t="shared" si="19"/>
        <v>#DIV/0!</v>
      </c>
      <c r="AR12" s="7"/>
      <c r="AS12" s="20"/>
      <c r="AT12" s="11" t="e">
        <f t="shared" si="20"/>
        <v>#DIV/0!</v>
      </c>
      <c r="AU12" s="11" t="e">
        <f t="shared" si="21"/>
        <v>#DIV/0!</v>
      </c>
      <c r="AV12" s="7"/>
      <c r="AW12" s="20"/>
      <c r="AX12" s="11" t="e">
        <f t="shared" si="22"/>
        <v>#DIV/0!</v>
      </c>
      <c r="AY12" s="11" t="e">
        <f t="shared" si="23"/>
        <v>#DIV/0!</v>
      </c>
      <c r="AZ12" s="20"/>
      <c r="BA12" s="20"/>
      <c r="BB12" s="11" t="e">
        <f t="shared" si="24"/>
        <v>#DIV/0!</v>
      </c>
      <c r="BC12" s="11" t="e">
        <f t="shared" si="25"/>
        <v>#DIV/0!</v>
      </c>
      <c r="BD12" s="19">
        <f>E12+I12+M12+Q12+Y12+AC12+AG12+AK12+AO12+AS12+AW12+BA12</f>
        <v>0</v>
      </c>
      <c r="BE12" s="11" t="e">
        <f t="shared" si="27"/>
        <v>#DIV/0!</v>
      </c>
      <c r="BF12" s="11" t="e">
        <f t="shared" si="27"/>
        <v>#DIV/0!</v>
      </c>
    </row>
    <row r="13" spans="2:58" x14ac:dyDescent="0.35">
      <c r="B13" s="3">
        <f>B12+1</f>
        <v>7</v>
      </c>
      <c r="C13" s="3" t="s">
        <v>39</v>
      </c>
      <c r="D13" s="7"/>
      <c r="E13" s="7"/>
      <c r="F13" s="11">
        <f t="shared" si="0"/>
        <v>0</v>
      </c>
      <c r="G13" s="11">
        <f t="shared" si="1"/>
        <v>0</v>
      </c>
      <c r="H13" s="7"/>
      <c r="I13" s="7"/>
      <c r="J13" s="11">
        <f t="shared" si="2"/>
        <v>0</v>
      </c>
      <c r="K13" s="11">
        <f t="shared" si="3"/>
        <v>0</v>
      </c>
      <c r="L13" s="7"/>
      <c r="M13" s="7"/>
      <c r="N13" s="11">
        <f t="shared" si="4"/>
        <v>0</v>
      </c>
      <c r="O13" s="11">
        <f t="shared" si="5"/>
        <v>0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7"/>
      <c r="AG13" s="7"/>
      <c r="AH13" s="11" t="e">
        <f t="shared" si="14"/>
        <v>#DIV/0!</v>
      </c>
      <c r="AI13" s="11" t="e">
        <f t="shared" si="15"/>
        <v>#DIV/0!</v>
      </c>
      <c r="AJ13" s="7"/>
      <c r="AK13" s="20"/>
      <c r="AL13" s="11" t="e">
        <f t="shared" si="16"/>
        <v>#DIV/0!</v>
      </c>
      <c r="AM13" s="11" t="e">
        <f t="shared" si="17"/>
        <v>#DIV/0!</v>
      </c>
      <c r="AN13" s="7"/>
      <c r="AO13" s="20"/>
      <c r="AP13" s="11" t="e">
        <f t="shared" si="18"/>
        <v>#DIV/0!</v>
      </c>
      <c r="AQ13" s="11" t="e">
        <f t="shared" si="19"/>
        <v>#DIV/0!</v>
      </c>
      <c r="AR13" s="7"/>
      <c r="AS13" s="20"/>
      <c r="AT13" s="11" t="e">
        <f t="shared" si="20"/>
        <v>#DIV/0!</v>
      </c>
      <c r="AU13" s="11" t="e">
        <f t="shared" si="21"/>
        <v>#DIV/0!</v>
      </c>
      <c r="AV13" s="7"/>
      <c r="AW13" s="20"/>
      <c r="AX13" s="11" t="e">
        <f t="shared" si="22"/>
        <v>#DIV/0!</v>
      </c>
      <c r="AY13" s="11" t="e">
        <f t="shared" si="23"/>
        <v>#DIV/0!</v>
      </c>
      <c r="AZ13" s="20"/>
      <c r="BA13" s="20"/>
      <c r="BB13" s="11" t="e">
        <f t="shared" si="24"/>
        <v>#DIV/0!</v>
      </c>
      <c r="BC13" s="11" t="e">
        <f t="shared" si="25"/>
        <v>#DIV/0!</v>
      </c>
      <c r="BD13" s="19">
        <f t="shared" ref="BD13" si="29">E13+I13+M13+Q13+Y13+AC13+AG13+AK13+AO13+AS13+AW13+BA13</f>
        <v>0</v>
      </c>
      <c r="BE13" s="11" t="e">
        <f t="shared" si="27"/>
        <v>#DIV/0!</v>
      </c>
      <c r="BF13" s="11" t="e">
        <f t="shared" si="27"/>
        <v>#DIV/0!</v>
      </c>
    </row>
    <row r="14" spans="2:58" x14ac:dyDescent="0.35">
      <c r="B14" s="3">
        <f>B13+1</f>
        <v>8</v>
      </c>
      <c r="C14" s="3" t="s">
        <v>21</v>
      </c>
      <c r="D14" s="7"/>
      <c r="E14" s="7"/>
      <c r="F14" s="11">
        <f t="shared" si="0"/>
        <v>0</v>
      </c>
      <c r="G14" s="11">
        <f t="shared" si="1"/>
        <v>0</v>
      </c>
      <c r="H14" s="7"/>
      <c r="I14" s="7"/>
      <c r="J14" s="11">
        <f t="shared" si="2"/>
        <v>0</v>
      </c>
      <c r="K14" s="11">
        <f t="shared" si="3"/>
        <v>0</v>
      </c>
      <c r="L14" s="7"/>
      <c r="M14" s="7"/>
      <c r="N14" s="11">
        <f t="shared" si="4"/>
        <v>0</v>
      </c>
      <c r="O14" s="11">
        <f t="shared" si="5"/>
        <v>0</v>
      </c>
      <c r="P14" s="7"/>
      <c r="Q14" s="7"/>
      <c r="R14" s="11" t="e">
        <f t="shared" si="6"/>
        <v>#DIV/0!</v>
      </c>
      <c r="S14" s="11" t="e">
        <f t="shared" si="7"/>
        <v>#DIV/0!</v>
      </c>
      <c r="T14" s="7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7"/>
      <c r="AG14" s="7"/>
      <c r="AH14" s="11" t="e">
        <f t="shared" si="14"/>
        <v>#DIV/0!</v>
      </c>
      <c r="AI14" s="11" t="e">
        <f t="shared" si="15"/>
        <v>#DIV/0!</v>
      </c>
      <c r="AJ14" s="7"/>
      <c r="AK14" s="20"/>
      <c r="AL14" s="11" t="e">
        <f t="shared" si="16"/>
        <v>#DIV/0!</v>
      </c>
      <c r="AM14" s="11" t="e">
        <f t="shared" si="17"/>
        <v>#DIV/0!</v>
      </c>
      <c r="AN14" s="7"/>
      <c r="AO14" s="20"/>
      <c r="AP14" s="11" t="e">
        <f t="shared" si="18"/>
        <v>#DIV/0!</v>
      </c>
      <c r="AQ14" s="11" t="e">
        <f t="shared" si="19"/>
        <v>#DIV/0!</v>
      </c>
      <c r="AR14" s="7"/>
      <c r="AS14" s="20"/>
      <c r="AT14" s="11" t="e">
        <f t="shared" si="20"/>
        <v>#DIV/0!</v>
      </c>
      <c r="AU14" s="11" t="e">
        <f t="shared" si="21"/>
        <v>#DIV/0!</v>
      </c>
      <c r="AV14" s="7"/>
      <c r="AW14" s="20"/>
      <c r="AX14" s="11" t="e">
        <f t="shared" si="22"/>
        <v>#DIV/0!</v>
      </c>
      <c r="AY14" s="11" t="e">
        <f t="shared" si="23"/>
        <v>#DIV/0!</v>
      </c>
      <c r="AZ14" s="20"/>
      <c r="BA14" s="20"/>
      <c r="BB14" s="11" t="e">
        <f t="shared" si="24"/>
        <v>#DIV/0!</v>
      </c>
      <c r="BC14" s="11" t="e">
        <f t="shared" si="25"/>
        <v>#DIV/0!</v>
      </c>
      <c r="BD14" s="19">
        <f t="shared" si="26"/>
        <v>0</v>
      </c>
      <c r="BE14" s="11" t="e">
        <f t="shared" si="27"/>
        <v>#DIV/0!</v>
      </c>
      <c r="BF14" s="11" t="e">
        <f t="shared" si="27"/>
        <v>#DIV/0!</v>
      </c>
    </row>
    <row r="15" spans="2:58" x14ac:dyDescent="0.35">
      <c r="B15" s="3">
        <f t="shared" si="28"/>
        <v>9</v>
      </c>
      <c r="C15" s="3" t="s">
        <v>22</v>
      </c>
      <c r="D15" s="7"/>
      <c r="E15" s="7"/>
      <c r="F15" s="11">
        <f t="shared" si="0"/>
        <v>0</v>
      </c>
      <c r="G15" s="11">
        <f t="shared" si="1"/>
        <v>0</v>
      </c>
      <c r="H15" s="7"/>
      <c r="I15" s="7"/>
      <c r="J15" s="11">
        <f t="shared" si="2"/>
        <v>0</v>
      </c>
      <c r="K15" s="11">
        <f t="shared" si="3"/>
        <v>0</v>
      </c>
      <c r="L15" s="7"/>
      <c r="M15" s="7"/>
      <c r="N15" s="11">
        <f t="shared" si="4"/>
        <v>0</v>
      </c>
      <c r="O15" s="11">
        <f t="shared" si="5"/>
        <v>0</v>
      </c>
      <c r="P15" s="7"/>
      <c r="Q15" s="7"/>
      <c r="R15" s="11" t="e">
        <f t="shared" si="6"/>
        <v>#DIV/0!</v>
      </c>
      <c r="S15" s="11" t="e">
        <f t="shared" si="7"/>
        <v>#DIV/0!</v>
      </c>
      <c r="T15" s="7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7"/>
      <c r="AG15" s="7"/>
      <c r="AH15" s="11" t="e">
        <f t="shared" si="14"/>
        <v>#DIV/0!</v>
      </c>
      <c r="AI15" s="11" t="e">
        <f t="shared" si="15"/>
        <v>#DIV/0!</v>
      </c>
      <c r="AJ15" s="7"/>
      <c r="AK15" s="20"/>
      <c r="AL15" s="11" t="e">
        <f t="shared" si="16"/>
        <v>#DIV/0!</v>
      </c>
      <c r="AM15" s="11" t="e">
        <f t="shared" si="17"/>
        <v>#DIV/0!</v>
      </c>
      <c r="AN15" s="7"/>
      <c r="AO15" s="20"/>
      <c r="AP15" s="11" t="e">
        <f t="shared" si="18"/>
        <v>#DIV/0!</v>
      </c>
      <c r="AQ15" s="11" t="e">
        <f t="shared" si="19"/>
        <v>#DIV/0!</v>
      </c>
      <c r="AR15" s="7"/>
      <c r="AS15" s="20"/>
      <c r="AT15" s="11" t="e">
        <f t="shared" si="20"/>
        <v>#DIV/0!</v>
      </c>
      <c r="AU15" s="11" t="e">
        <f t="shared" si="21"/>
        <v>#DIV/0!</v>
      </c>
      <c r="AV15" s="7"/>
      <c r="AW15" s="20"/>
      <c r="AX15" s="11" t="e">
        <f t="shared" si="22"/>
        <v>#DIV/0!</v>
      </c>
      <c r="AY15" s="11" t="e">
        <f t="shared" si="23"/>
        <v>#DIV/0!</v>
      </c>
      <c r="AZ15" s="20"/>
      <c r="BA15" s="20"/>
      <c r="BB15" s="11" t="e">
        <f t="shared" si="24"/>
        <v>#DIV/0!</v>
      </c>
      <c r="BC15" s="11" t="e">
        <f t="shared" si="25"/>
        <v>#DIV/0!</v>
      </c>
      <c r="BD15" s="19">
        <f t="shared" si="26"/>
        <v>0</v>
      </c>
      <c r="BE15" s="11" t="e">
        <f t="shared" si="27"/>
        <v>#DIV/0!</v>
      </c>
      <c r="BF15" s="11" t="e">
        <f t="shared" si="27"/>
        <v>#DIV/0!</v>
      </c>
    </row>
    <row r="16" spans="2:58" x14ac:dyDescent="0.35">
      <c r="B16" s="3">
        <f t="shared" si="28"/>
        <v>10</v>
      </c>
      <c r="C16" s="3" t="s">
        <v>29</v>
      </c>
      <c r="D16" s="16">
        <v>11</v>
      </c>
      <c r="E16" s="16">
        <f>36557222+37493774</f>
        <v>74050996</v>
      </c>
      <c r="F16" s="11">
        <f t="shared" si="0"/>
        <v>0.52380952380952384</v>
      </c>
      <c r="G16" s="11">
        <f t="shared" si="1"/>
        <v>0.55104336033791479</v>
      </c>
      <c r="H16" s="7">
        <v>11</v>
      </c>
      <c r="I16" s="7">
        <f>36462409+32385943</f>
        <v>68848352</v>
      </c>
      <c r="J16" s="11">
        <f t="shared" si="2"/>
        <v>0.52380952380952384</v>
      </c>
      <c r="K16" s="11">
        <f t="shared" si="3"/>
        <v>0.52110304404274588</v>
      </c>
      <c r="L16" s="7">
        <v>11</v>
      </c>
      <c r="M16" s="7">
        <v>37708627</v>
      </c>
      <c r="N16" s="11">
        <f t="shared" si="4"/>
        <v>0.52380952380952384</v>
      </c>
      <c r="O16" s="11">
        <f t="shared" si="5"/>
        <v>0.52747402543457378</v>
      </c>
      <c r="P16" s="7"/>
      <c r="Q16" s="7"/>
      <c r="R16" s="11" t="e">
        <f t="shared" si="6"/>
        <v>#DIV/0!</v>
      </c>
      <c r="S16" s="11" t="e">
        <f t="shared" si="7"/>
        <v>#DIV/0!</v>
      </c>
      <c r="T16" s="7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7"/>
      <c r="AG16" s="7"/>
      <c r="AH16" s="11" t="e">
        <f t="shared" si="14"/>
        <v>#DIV/0!</v>
      </c>
      <c r="AI16" s="11" t="e">
        <f t="shared" si="15"/>
        <v>#DIV/0!</v>
      </c>
      <c r="AJ16" s="7"/>
      <c r="AK16" s="20"/>
      <c r="AL16" s="11" t="e">
        <f t="shared" si="16"/>
        <v>#DIV/0!</v>
      </c>
      <c r="AM16" s="11" t="e">
        <f t="shared" si="17"/>
        <v>#DIV/0!</v>
      </c>
      <c r="AN16" s="7"/>
      <c r="AO16" s="20"/>
      <c r="AP16" s="11" t="e">
        <f t="shared" si="18"/>
        <v>#DIV/0!</v>
      </c>
      <c r="AQ16" s="11" t="e">
        <f t="shared" si="19"/>
        <v>#DIV/0!</v>
      </c>
      <c r="AR16" s="7"/>
      <c r="AS16" s="20"/>
      <c r="AT16" s="11" t="e">
        <f t="shared" si="20"/>
        <v>#DIV/0!</v>
      </c>
      <c r="AU16" s="11" t="e">
        <f t="shared" si="21"/>
        <v>#DIV/0!</v>
      </c>
      <c r="AV16" s="7"/>
      <c r="AW16" s="20"/>
      <c r="AX16" s="11" t="e">
        <f t="shared" si="22"/>
        <v>#DIV/0!</v>
      </c>
      <c r="AY16" s="11" t="e">
        <f t="shared" si="23"/>
        <v>#DIV/0!</v>
      </c>
      <c r="AZ16" s="20"/>
      <c r="BA16" s="20"/>
      <c r="BB16" s="11" t="e">
        <f t="shared" si="24"/>
        <v>#DIV/0!</v>
      </c>
      <c r="BC16" s="11" t="e">
        <f t="shared" si="25"/>
        <v>#DIV/0!</v>
      </c>
      <c r="BD16" s="19">
        <f t="shared" si="26"/>
        <v>180607975</v>
      </c>
      <c r="BE16" s="11" t="e">
        <f t="shared" si="27"/>
        <v>#DIV/0!</v>
      </c>
      <c r="BF16" s="11" t="e">
        <f t="shared" si="27"/>
        <v>#DIV/0!</v>
      </c>
    </row>
    <row r="17" spans="2:58" x14ac:dyDescent="0.35">
      <c r="B17" s="3">
        <f t="shared" si="28"/>
        <v>11</v>
      </c>
      <c r="C17" s="3" t="s">
        <v>40</v>
      </c>
      <c r="D17" s="16">
        <v>10</v>
      </c>
      <c r="E17" s="16">
        <f>29437595+30894656</f>
        <v>60332251</v>
      </c>
      <c r="F17" s="11">
        <f t="shared" si="0"/>
        <v>0.47619047619047616</v>
      </c>
      <c r="G17" s="11">
        <f t="shared" si="1"/>
        <v>0.44895663966208527</v>
      </c>
      <c r="H17" s="7">
        <v>10</v>
      </c>
      <c r="I17" s="7">
        <f>33274980+29997086</f>
        <v>63272066</v>
      </c>
      <c r="J17" s="11">
        <f t="shared" si="2"/>
        <v>0.47619047619047616</v>
      </c>
      <c r="K17" s="11">
        <f t="shared" si="3"/>
        <v>0.47889695595725407</v>
      </c>
      <c r="L17" s="7">
        <v>10</v>
      </c>
      <c r="M17" s="7">
        <v>33780442</v>
      </c>
      <c r="N17" s="11">
        <f t="shared" si="4"/>
        <v>0.47619047619047616</v>
      </c>
      <c r="O17" s="11">
        <f t="shared" si="5"/>
        <v>0.47252597456542622</v>
      </c>
      <c r="P17" s="7"/>
      <c r="Q17" s="7"/>
      <c r="R17" s="11" t="e">
        <f t="shared" si="6"/>
        <v>#DIV/0!</v>
      </c>
      <c r="S17" s="11" t="e">
        <f t="shared" si="7"/>
        <v>#DIV/0!</v>
      </c>
      <c r="T17" s="7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7"/>
      <c r="AD17" s="11" t="e">
        <f t="shared" si="12"/>
        <v>#DIV/0!</v>
      </c>
      <c r="AE17" s="11" t="e">
        <f t="shared" si="13"/>
        <v>#DIV/0!</v>
      </c>
      <c r="AF17" s="7"/>
      <c r="AG17" s="20"/>
      <c r="AH17" s="11" t="e">
        <f t="shared" si="14"/>
        <v>#DIV/0!</v>
      </c>
      <c r="AI17" s="11" t="e">
        <f t="shared" si="15"/>
        <v>#DIV/0!</v>
      </c>
      <c r="AJ17" s="7"/>
      <c r="AK17" s="20"/>
      <c r="AL17" s="11" t="e">
        <f t="shared" si="16"/>
        <v>#DIV/0!</v>
      </c>
      <c r="AM17" s="11" t="e">
        <f t="shared" si="17"/>
        <v>#DIV/0!</v>
      </c>
      <c r="AN17" s="7"/>
      <c r="AO17" s="20"/>
      <c r="AP17" s="11" t="e">
        <f t="shared" si="18"/>
        <v>#DIV/0!</v>
      </c>
      <c r="AQ17" s="11" t="e">
        <f t="shared" si="19"/>
        <v>#DIV/0!</v>
      </c>
      <c r="AR17" s="7"/>
      <c r="AS17" s="20"/>
      <c r="AT17" s="11" t="e">
        <f t="shared" si="20"/>
        <v>#DIV/0!</v>
      </c>
      <c r="AU17" s="11" t="e">
        <f t="shared" si="21"/>
        <v>#DIV/0!</v>
      </c>
      <c r="AV17" s="7"/>
      <c r="AW17" s="20"/>
      <c r="AX17" s="11" t="e">
        <f t="shared" si="22"/>
        <v>#DIV/0!</v>
      </c>
      <c r="AY17" s="11" t="e">
        <f t="shared" si="23"/>
        <v>#DIV/0!</v>
      </c>
      <c r="AZ17" s="20"/>
      <c r="BA17" s="20"/>
      <c r="BB17" s="11" t="e">
        <f t="shared" si="24"/>
        <v>#DIV/0!</v>
      </c>
      <c r="BC17" s="11" t="e">
        <f t="shared" si="25"/>
        <v>#DIV/0!</v>
      </c>
      <c r="BD17" s="19">
        <f t="shared" si="26"/>
        <v>157384759</v>
      </c>
      <c r="BE17" s="11" t="e">
        <f t="shared" si="27"/>
        <v>#DIV/0!</v>
      </c>
      <c r="BF17" s="11" t="e">
        <f t="shared" si="27"/>
        <v>#DIV/0!</v>
      </c>
    </row>
    <row r="18" spans="2:58" x14ac:dyDescent="0.35">
      <c r="B18" s="3">
        <f t="shared" si="28"/>
        <v>12</v>
      </c>
      <c r="C18" s="3" t="s">
        <v>41</v>
      </c>
      <c r="D18" s="7"/>
      <c r="E18" s="7"/>
      <c r="F18" s="11">
        <f t="shared" si="0"/>
        <v>0</v>
      </c>
      <c r="G18" s="11">
        <f t="shared" si="1"/>
        <v>0</v>
      </c>
      <c r="H18" s="7"/>
      <c r="I18" s="7"/>
      <c r="J18" s="11">
        <f t="shared" si="2"/>
        <v>0</v>
      </c>
      <c r="K18" s="11">
        <f t="shared" si="3"/>
        <v>0</v>
      </c>
      <c r="L18" s="7"/>
      <c r="M18" s="7"/>
      <c r="N18" s="11">
        <f t="shared" si="4"/>
        <v>0</v>
      </c>
      <c r="O18" s="11">
        <f t="shared" si="5"/>
        <v>0</v>
      </c>
      <c r="P18" s="7"/>
      <c r="Q18" s="7"/>
      <c r="R18" s="11" t="e">
        <f t="shared" si="6"/>
        <v>#DIV/0!</v>
      </c>
      <c r="S18" s="11" t="e">
        <f t="shared" si="7"/>
        <v>#DIV/0!</v>
      </c>
      <c r="T18" s="7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7"/>
      <c r="AG18" s="7"/>
      <c r="AH18" s="11" t="e">
        <f t="shared" si="14"/>
        <v>#DIV/0!</v>
      </c>
      <c r="AI18" s="11" t="e">
        <f t="shared" si="15"/>
        <v>#DIV/0!</v>
      </c>
      <c r="AJ18" s="7"/>
      <c r="AK18" s="20"/>
      <c r="AL18" s="11" t="e">
        <f t="shared" si="16"/>
        <v>#DIV/0!</v>
      </c>
      <c r="AM18" s="11" t="e">
        <f t="shared" si="17"/>
        <v>#DIV/0!</v>
      </c>
      <c r="AN18" s="7"/>
      <c r="AO18" s="20"/>
      <c r="AP18" s="11" t="e">
        <f t="shared" si="18"/>
        <v>#DIV/0!</v>
      </c>
      <c r="AQ18" s="11" t="e">
        <f t="shared" si="19"/>
        <v>#DIV/0!</v>
      </c>
      <c r="AR18" s="7"/>
      <c r="AS18" s="20"/>
      <c r="AT18" s="11" t="e">
        <f t="shared" si="20"/>
        <v>#DIV/0!</v>
      </c>
      <c r="AU18" s="11" t="e">
        <f t="shared" si="21"/>
        <v>#DIV/0!</v>
      </c>
      <c r="AV18" s="7"/>
      <c r="AW18" s="20"/>
      <c r="AX18" s="11" t="e">
        <f t="shared" si="22"/>
        <v>#DIV/0!</v>
      </c>
      <c r="AY18" s="11" t="e">
        <f t="shared" si="23"/>
        <v>#DIV/0!</v>
      </c>
      <c r="AZ18" s="20"/>
      <c r="BA18" s="20"/>
      <c r="BB18" s="11" t="e">
        <f t="shared" si="24"/>
        <v>#DIV/0!</v>
      </c>
      <c r="BC18" s="11" t="e">
        <f t="shared" si="25"/>
        <v>#DIV/0!</v>
      </c>
      <c r="BD18" s="19">
        <f t="shared" si="26"/>
        <v>0</v>
      </c>
      <c r="BE18" s="11" t="e">
        <f t="shared" si="27"/>
        <v>#DIV/0!</v>
      </c>
      <c r="BF18" s="11" t="e">
        <f t="shared" si="27"/>
        <v>#DIV/0!</v>
      </c>
    </row>
    <row r="19" spans="2:58" x14ac:dyDescent="0.35">
      <c r="B19" s="3">
        <f t="shared" si="28"/>
        <v>13</v>
      </c>
      <c r="C19" s="3" t="s">
        <v>23</v>
      </c>
      <c r="D19" s="7"/>
      <c r="E19" s="7"/>
      <c r="F19" s="11">
        <f t="shared" si="0"/>
        <v>0</v>
      </c>
      <c r="G19" s="11">
        <f t="shared" si="1"/>
        <v>0</v>
      </c>
      <c r="H19" s="7"/>
      <c r="I19" s="7"/>
      <c r="J19" s="11">
        <f t="shared" si="2"/>
        <v>0</v>
      </c>
      <c r="K19" s="11">
        <f t="shared" si="3"/>
        <v>0</v>
      </c>
      <c r="L19" s="7"/>
      <c r="M19" s="7"/>
      <c r="N19" s="11">
        <f t="shared" si="4"/>
        <v>0</v>
      </c>
      <c r="O19" s="11">
        <f t="shared" si="5"/>
        <v>0</v>
      </c>
      <c r="P19" s="7"/>
      <c r="Q19" s="7"/>
      <c r="R19" s="11" t="e">
        <f t="shared" si="6"/>
        <v>#DIV/0!</v>
      </c>
      <c r="S19" s="11" t="e">
        <f t="shared" si="7"/>
        <v>#DIV/0!</v>
      </c>
      <c r="T19" s="7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7"/>
      <c r="AG19" s="7"/>
      <c r="AH19" s="11" t="e">
        <f t="shared" si="14"/>
        <v>#DIV/0!</v>
      </c>
      <c r="AI19" s="11" t="e">
        <f t="shared" si="15"/>
        <v>#DIV/0!</v>
      </c>
      <c r="AJ19" s="7"/>
      <c r="AK19" s="20"/>
      <c r="AL19" s="11" t="e">
        <f t="shared" si="16"/>
        <v>#DIV/0!</v>
      </c>
      <c r="AM19" s="11" t="e">
        <f t="shared" si="17"/>
        <v>#DIV/0!</v>
      </c>
      <c r="AN19" s="7"/>
      <c r="AO19" s="20"/>
      <c r="AP19" s="11" t="e">
        <f t="shared" si="18"/>
        <v>#DIV/0!</v>
      </c>
      <c r="AQ19" s="11" t="e">
        <f t="shared" si="19"/>
        <v>#DIV/0!</v>
      </c>
      <c r="AR19" s="7"/>
      <c r="AS19" s="20"/>
      <c r="AT19" s="11" t="e">
        <f t="shared" si="20"/>
        <v>#DIV/0!</v>
      </c>
      <c r="AU19" s="11" t="e">
        <f t="shared" si="21"/>
        <v>#DIV/0!</v>
      </c>
      <c r="AV19" s="7"/>
      <c r="AW19" s="20"/>
      <c r="AX19" s="11" t="e">
        <f t="shared" si="22"/>
        <v>#DIV/0!</v>
      </c>
      <c r="AY19" s="11" t="e">
        <f t="shared" si="23"/>
        <v>#DIV/0!</v>
      </c>
      <c r="AZ19" s="20"/>
      <c r="BA19" s="20"/>
      <c r="BB19" s="11" t="e">
        <f t="shared" si="24"/>
        <v>#DIV/0!</v>
      </c>
      <c r="BC19" s="11" t="e">
        <f t="shared" si="25"/>
        <v>#DIV/0!</v>
      </c>
      <c r="BD19" s="19">
        <f t="shared" si="26"/>
        <v>0</v>
      </c>
      <c r="BE19" s="11" t="e">
        <f t="shared" si="27"/>
        <v>#DIV/0!</v>
      </c>
      <c r="BF19" s="11" t="e">
        <f t="shared" si="27"/>
        <v>#DIV/0!</v>
      </c>
    </row>
    <row r="20" spans="2:58" x14ac:dyDescent="0.35">
      <c r="B20" s="3">
        <f t="shared" si="28"/>
        <v>14</v>
      </c>
      <c r="C20" s="3" t="s">
        <v>24</v>
      </c>
      <c r="D20" s="7"/>
      <c r="E20" s="7"/>
      <c r="F20" s="11">
        <f t="shared" si="0"/>
        <v>0</v>
      </c>
      <c r="G20" s="11">
        <f t="shared" si="1"/>
        <v>0</v>
      </c>
      <c r="H20" s="7"/>
      <c r="I20" s="7"/>
      <c r="J20" s="11">
        <f t="shared" si="2"/>
        <v>0</v>
      </c>
      <c r="K20" s="11">
        <f t="shared" si="3"/>
        <v>0</v>
      </c>
      <c r="L20" s="7"/>
      <c r="M20" s="7"/>
      <c r="N20" s="11">
        <f t="shared" si="4"/>
        <v>0</v>
      </c>
      <c r="O20" s="11">
        <f t="shared" si="5"/>
        <v>0</v>
      </c>
      <c r="P20" s="7"/>
      <c r="Q20" s="7"/>
      <c r="R20" s="11" t="e">
        <f t="shared" si="6"/>
        <v>#DIV/0!</v>
      </c>
      <c r="S20" s="11" t="e">
        <f t="shared" si="7"/>
        <v>#DIV/0!</v>
      </c>
      <c r="T20" s="7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7"/>
      <c r="AG20" s="7"/>
      <c r="AH20" s="11" t="e">
        <f t="shared" si="14"/>
        <v>#DIV/0!</v>
      </c>
      <c r="AI20" s="11" t="e">
        <f t="shared" si="15"/>
        <v>#DIV/0!</v>
      </c>
      <c r="AJ20" s="7"/>
      <c r="AK20" s="20"/>
      <c r="AL20" s="11" t="e">
        <f t="shared" si="16"/>
        <v>#DIV/0!</v>
      </c>
      <c r="AM20" s="11" t="e">
        <f t="shared" si="17"/>
        <v>#DIV/0!</v>
      </c>
      <c r="AN20" s="7"/>
      <c r="AO20" s="20"/>
      <c r="AP20" s="11" t="e">
        <f t="shared" si="18"/>
        <v>#DIV/0!</v>
      </c>
      <c r="AQ20" s="11" t="e">
        <f t="shared" si="19"/>
        <v>#DIV/0!</v>
      </c>
      <c r="AR20" s="7"/>
      <c r="AS20" s="20"/>
      <c r="AT20" s="11" t="e">
        <f t="shared" si="20"/>
        <v>#DIV/0!</v>
      </c>
      <c r="AU20" s="11" t="e">
        <f t="shared" si="21"/>
        <v>#DIV/0!</v>
      </c>
      <c r="AV20" s="7"/>
      <c r="AW20" s="20"/>
      <c r="AX20" s="11" t="e">
        <f t="shared" si="22"/>
        <v>#DIV/0!</v>
      </c>
      <c r="AY20" s="11" t="e">
        <f t="shared" si="23"/>
        <v>#DIV/0!</v>
      </c>
      <c r="AZ20" s="20"/>
      <c r="BA20" s="20"/>
      <c r="BB20" s="11" t="e">
        <f t="shared" si="24"/>
        <v>#DIV/0!</v>
      </c>
      <c r="BC20" s="11" t="e">
        <f t="shared" si="25"/>
        <v>#DIV/0!</v>
      </c>
      <c r="BD20" s="19">
        <f t="shared" si="26"/>
        <v>0</v>
      </c>
      <c r="BE20" s="11" t="e">
        <f t="shared" si="27"/>
        <v>#DIV/0!</v>
      </c>
      <c r="BF20" s="11" t="e">
        <f t="shared" si="27"/>
        <v>#DIV/0!</v>
      </c>
    </row>
    <row r="21" spans="2:58" x14ac:dyDescent="0.35">
      <c r="B21" s="3">
        <f t="shared" si="28"/>
        <v>15</v>
      </c>
      <c r="C21" s="3" t="s">
        <v>25</v>
      </c>
      <c r="D21" s="7"/>
      <c r="E21" s="7"/>
      <c r="F21" s="11">
        <f t="shared" si="0"/>
        <v>0</v>
      </c>
      <c r="G21" s="11">
        <f t="shared" si="1"/>
        <v>0</v>
      </c>
      <c r="H21" s="7"/>
      <c r="I21" s="7"/>
      <c r="J21" s="11">
        <f t="shared" si="2"/>
        <v>0</v>
      </c>
      <c r="K21" s="11">
        <f t="shared" si="3"/>
        <v>0</v>
      </c>
      <c r="L21" s="7"/>
      <c r="M21" s="7"/>
      <c r="N21" s="11">
        <f t="shared" si="4"/>
        <v>0</v>
      </c>
      <c r="O21" s="11">
        <f t="shared" si="5"/>
        <v>0</v>
      </c>
      <c r="P21" s="7"/>
      <c r="Q21" s="7"/>
      <c r="R21" s="11" t="e">
        <f t="shared" si="6"/>
        <v>#DIV/0!</v>
      </c>
      <c r="S21" s="11" t="e">
        <f t="shared" si="7"/>
        <v>#DIV/0!</v>
      </c>
      <c r="T21" s="7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7"/>
      <c r="AK21" s="20"/>
      <c r="AL21" s="11" t="e">
        <f t="shared" si="16"/>
        <v>#DIV/0!</v>
      </c>
      <c r="AM21" s="11" t="e">
        <f t="shared" si="17"/>
        <v>#DIV/0!</v>
      </c>
      <c r="AN21" s="7"/>
      <c r="AO21" s="20"/>
      <c r="AP21" s="11" t="e">
        <f t="shared" si="18"/>
        <v>#DIV/0!</v>
      </c>
      <c r="AQ21" s="11" t="e">
        <f t="shared" si="19"/>
        <v>#DIV/0!</v>
      </c>
      <c r="AR21" s="7"/>
      <c r="AS21" s="20"/>
      <c r="AT21" s="11" t="e">
        <f t="shared" si="20"/>
        <v>#DIV/0!</v>
      </c>
      <c r="AU21" s="11" t="e">
        <f t="shared" si="21"/>
        <v>#DIV/0!</v>
      </c>
      <c r="AV21" s="7"/>
      <c r="AW21" s="20"/>
      <c r="AX21" s="11" t="e">
        <f t="shared" si="22"/>
        <v>#DIV/0!</v>
      </c>
      <c r="AY21" s="11" t="e">
        <f t="shared" si="23"/>
        <v>#DIV/0!</v>
      </c>
      <c r="AZ21" s="20"/>
      <c r="BA21" s="20"/>
      <c r="BB21" s="11" t="e">
        <f t="shared" si="24"/>
        <v>#DIV/0!</v>
      </c>
      <c r="BC21" s="11" t="e">
        <f t="shared" si="25"/>
        <v>#DIV/0!</v>
      </c>
      <c r="BD21" s="19">
        <f t="shared" si="26"/>
        <v>0</v>
      </c>
      <c r="BE21" s="11" t="e">
        <f t="shared" si="27"/>
        <v>#DIV/0!</v>
      </c>
      <c r="BF21" s="11" t="e">
        <f t="shared" si="27"/>
        <v>#DIV/0!</v>
      </c>
    </row>
    <row r="22" spans="2:58" x14ac:dyDescent="0.35">
      <c r="B22" s="3">
        <f t="shared" si="28"/>
        <v>16</v>
      </c>
      <c r="C22" s="3" t="s">
        <v>26</v>
      </c>
      <c r="D22" s="7"/>
      <c r="E22" s="7"/>
      <c r="F22" s="11">
        <f t="shared" si="0"/>
        <v>0</v>
      </c>
      <c r="G22" s="11">
        <f t="shared" si="1"/>
        <v>0</v>
      </c>
      <c r="H22" s="7"/>
      <c r="I22" s="7"/>
      <c r="J22" s="11">
        <f t="shared" si="2"/>
        <v>0</v>
      </c>
      <c r="K22" s="11">
        <f t="shared" si="3"/>
        <v>0</v>
      </c>
      <c r="L22" s="7"/>
      <c r="M22" s="7"/>
      <c r="N22" s="11">
        <f t="shared" si="4"/>
        <v>0</v>
      </c>
      <c r="O22" s="11">
        <f t="shared" si="5"/>
        <v>0</v>
      </c>
      <c r="P22" s="7"/>
      <c r="Q22" s="7"/>
      <c r="R22" s="11" t="e">
        <f t="shared" si="6"/>
        <v>#DIV/0!</v>
      </c>
      <c r="S22" s="11" t="e">
        <f t="shared" si="7"/>
        <v>#DIV/0!</v>
      </c>
      <c r="T22" s="7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7"/>
      <c r="AK22" s="20"/>
      <c r="AL22" s="11" t="e">
        <f t="shared" si="16"/>
        <v>#DIV/0!</v>
      </c>
      <c r="AM22" s="11" t="e">
        <f t="shared" si="17"/>
        <v>#DIV/0!</v>
      </c>
      <c r="AN22" s="7"/>
      <c r="AO22" s="20"/>
      <c r="AP22" s="11" t="e">
        <f t="shared" si="18"/>
        <v>#DIV/0!</v>
      </c>
      <c r="AQ22" s="11" t="e">
        <f t="shared" si="19"/>
        <v>#DIV/0!</v>
      </c>
      <c r="AR22" s="7"/>
      <c r="AS22" s="20"/>
      <c r="AT22" s="11" t="e">
        <f t="shared" si="20"/>
        <v>#DIV/0!</v>
      </c>
      <c r="AU22" s="11" t="e">
        <f t="shared" si="21"/>
        <v>#DIV/0!</v>
      </c>
      <c r="AV22" s="7"/>
      <c r="AW22" s="20"/>
      <c r="AX22" s="11" t="e">
        <f t="shared" si="22"/>
        <v>#DIV/0!</v>
      </c>
      <c r="AY22" s="11" t="e">
        <f t="shared" si="23"/>
        <v>#DIV/0!</v>
      </c>
      <c r="AZ22" s="20"/>
      <c r="BA22" s="20"/>
      <c r="BB22" s="11" t="e">
        <f t="shared" si="24"/>
        <v>#DIV/0!</v>
      </c>
      <c r="BC22" s="11" t="e">
        <f t="shared" si="25"/>
        <v>#DIV/0!</v>
      </c>
      <c r="BD22" s="19">
        <f t="shared" si="26"/>
        <v>0</v>
      </c>
      <c r="BE22" s="11" t="e">
        <f t="shared" si="27"/>
        <v>#DIV/0!</v>
      </c>
      <c r="BF22" s="11" t="e">
        <f t="shared" si="27"/>
        <v>#DIV/0!</v>
      </c>
    </row>
    <row r="23" spans="2:58" x14ac:dyDescent="0.35">
      <c r="B23" s="18"/>
      <c r="C23" s="18"/>
      <c r="D23" s="18"/>
      <c r="E23" s="17"/>
      <c r="F23" s="7"/>
      <c r="G23" s="7"/>
      <c r="H23" s="7"/>
      <c r="I23" s="7"/>
      <c r="J23" s="7"/>
      <c r="K23" s="7"/>
      <c r="L23" s="17"/>
      <c r="M23" s="17"/>
      <c r="N23" s="7"/>
      <c r="O23" s="7"/>
      <c r="P23" s="17"/>
      <c r="Q23" s="17"/>
      <c r="R23" s="7"/>
      <c r="S23" s="7"/>
      <c r="T23" s="7"/>
      <c r="U23" s="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17"/>
      <c r="BB23" s="7"/>
      <c r="BC23" s="7"/>
      <c r="BD23" s="17"/>
      <c r="BE23" s="7"/>
      <c r="BF23" s="7"/>
    </row>
    <row r="24" spans="2:58" x14ac:dyDescent="0.35">
      <c r="B24" s="4"/>
      <c r="C24" s="4" t="s">
        <v>12</v>
      </c>
      <c r="D24" s="5">
        <f t="shared" ref="D24:AQ24" si="30">SUM(D7:D23)</f>
        <v>21</v>
      </c>
      <c r="E24" s="5">
        <f t="shared" si="30"/>
        <v>134383247</v>
      </c>
      <c r="F24" s="10">
        <f t="shared" si="30"/>
        <v>1</v>
      </c>
      <c r="G24" s="10">
        <f t="shared" si="30"/>
        <v>1</v>
      </c>
      <c r="H24" s="5">
        <f t="shared" si="30"/>
        <v>21</v>
      </c>
      <c r="I24" s="5">
        <f t="shared" si="30"/>
        <v>132120418</v>
      </c>
      <c r="J24" s="10">
        <f t="shared" si="30"/>
        <v>1</v>
      </c>
      <c r="K24" s="10">
        <f t="shared" si="30"/>
        <v>1</v>
      </c>
      <c r="L24" s="5">
        <f t="shared" si="30"/>
        <v>21</v>
      </c>
      <c r="M24" s="5">
        <f t="shared" si="30"/>
        <v>71489069</v>
      </c>
      <c r="N24" s="10">
        <f t="shared" si="30"/>
        <v>1</v>
      </c>
      <c r="O24" s="10">
        <f t="shared" si="30"/>
        <v>1</v>
      </c>
      <c r="P24" s="5">
        <f t="shared" si="30"/>
        <v>0</v>
      </c>
      <c r="Q24" s="5">
        <f t="shared" si="30"/>
        <v>0</v>
      </c>
      <c r="R24" s="10" t="e">
        <f t="shared" si="30"/>
        <v>#DIV/0!</v>
      </c>
      <c r="S24" s="10" t="e">
        <f t="shared" si="30"/>
        <v>#DIV/0!</v>
      </c>
      <c r="T24" s="5">
        <f t="shared" si="30"/>
        <v>0</v>
      </c>
      <c r="U24" s="5">
        <f t="shared" si="30"/>
        <v>0</v>
      </c>
      <c r="V24" s="10" t="e">
        <f t="shared" si="30"/>
        <v>#DIV/0!</v>
      </c>
      <c r="W24" s="10" t="e">
        <f t="shared" si="30"/>
        <v>#DIV/0!</v>
      </c>
      <c r="X24" s="5">
        <f t="shared" si="30"/>
        <v>0</v>
      </c>
      <c r="Y24" s="5">
        <f t="shared" si="30"/>
        <v>0</v>
      </c>
      <c r="Z24" s="10" t="e">
        <f t="shared" si="30"/>
        <v>#DIV/0!</v>
      </c>
      <c r="AA24" s="10" t="e">
        <f t="shared" si="30"/>
        <v>#DIV/0!</v>
      </c>
      <c r="AB24" s="5">
        <f t="shared" si="30"/>
        <v>0</v>
      </c>
      <c r="AC24" s="5">
        <f t="shared" si="30"/>
        <v>0</v>
      </c>
      <c r="AD24" s="10" t="e">
        <f t="shared" si="30"/>
        <v>#DIV/0!</v>
      </c>
      <c r="AE24" s="10" t="e">
        <f t="shared" si="30"/>
        <v>#DIV/0!</v>
      </c>
      <c r="AF24" s="5">
        <f t="shared" si="30"/>
        <v>0</v>
      </c>
      <c r="AG24" s="5">
        <f t="shared" si="30"/>
        <v>0</v>
      </c>
      <c r="AH24" s="10" t="e">
        <f t="shared" si="30"/>
        <v>#DIV/0!</v>
      </c>
      <c r="AI24" s="10" t="e">
        <f t="shared" si="30"/>
        <v>#DIV/0!</v>
      </c>
      <c r="AJ24" s="5">
        <f t="shared" si="30"/>
        <v>0</v>
      </c>
      <c r="AK24" s="5">
        <f t="shared" si="30"/>
        <v>0</v>
      </c>
      <c r="AL24" s="10" t="e">
        <f t="shared" si="30"/>
        <v>#DIV/0!</v>
      </c>
      <c r="AM24" s="10" t="e">
        <f t="shared" si="30"/>
        <v>#DIV/0!</v>
      </c>
      <c r="AN24" s="5">
        <f t="shared" si="30"/>
        <v>0</v>
      </c>
      <c r="AO24" s="5">
        <f t="shared" si="30"/>
        <v>0</v>
      </c>
      <c r="AP24" s="10" t="e">
        <f t="shared" si="30"/>
        <v>#DIV/0!</v>
      </c>
      <c r="AQ24" s="10" t="e">
        <f t="shared" si="30"/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>SUM(AW7:AW23)</f>
        <v>0</v>
      </c>
      <c r="AX24" s="10" t="e">
        <f>SUM(AX7:AX23)</f>
        <v>#DIV/0!</v>
      </c>
      <c r="AY24" s="10" t="e">
        <f>SUM(AY7:AY23)</f>
        <v>#DIV/0!</v>
      </c>
      <c r="AZ24" s="5">
        <f>SUM(AZ7:AZ22)</f>
        <v>0</v>
      </c>
      <c r="BA24" s="5">
        <f t="shared" ref="BA24:BF24" si="31">SUM(BA7:BA23)</f>
        <v>0</v>
      </c>
      <c r="BB24" s="10" t="e">
        <f t="shared" si="31"/>
        <v>#DIV/0!</v>
      </c>
      <c r="BC24" s="10" t="e">
        <f t="shared" si="31"/>
        <v>#DIV/0!</v>
      </c>
      <c r="BD24" s="5">
        <f t="shared" si="31"/>
        <v>337992734</v>
      </c>
      <c r="BE24" s="10" t="e">
        <f t="shared" si="31"/>
        <v>#DIV/0!</v>
      </c>
      <c r="BF24" s="10" t="e">
        <f t="shared" si="31"/>
        <v>#DIV/0!</v>
      </c>
    </row>
    <row r="25" spans="2:58" x14ac:dyDescent="0.3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2:58" x14ac:dyDescent="0.35">
      <c r="Y26" s="46"/>
      <c r="AF26" s="55">
        <v>9</v>
      </c>
      <c r="AG26" s="55" t="s">
        <v>69</v>
      </c>
    </row>
    <row r="27" spans="2:58" x14ac:dyDescent="0.35">
      <c r="U27" s="8"/>
      <c r="Y27" s="46"/>
      <c r="Z27" s="46"/>
      <c r="AF27" s="55"/>
      <c r="AG27" s="55" t="s">
        <v>70</v>
      </c>
    </row>
    <row r="28" spans="2:58" x14ac:dyDescent="0.35">
      <c r="Y28" s="46"/>
      <c r="AF28" s="55">
        <v>15</v>
      </c>
      <c r="AG28" s="56">
        <v>29464561</v>
      </c>
    </row>
    <row r="29" spans="2:58" x14ac:dyDescent="0.35">
      <c r="Y29" s="46"/>
      <c r="Z29" s="46"/>
      <c r="AF29" s="55"/>
      <c r="AG29" s="56">
        <v>16748519</v>
      </c>
    </row>
    <row r="30" spans="2:58" x14ac:dyDescent="0.35">
      <c r="Y30" s="46"/>
    </row>
  </sheetData>
  <mergeCells count="12">
    <mergeCell ref="AV5:AW5"/>
    <mergeCell ref="D5:G5"/>
    <mergeCell ref="H5:I5"/>
    <mergeCell ref="L5:M5"/>
    <mergeCell ref="P5:Q5"/>
    <mergeCell ref="T5:U5"/>
    <mergeCell ref="X5:Y5"/>
    <mergeCell ref="AB5:AC5"/>
    <mergeCell ref="AF5:AG5"/>
    <mergeCell ref="AJ5:AK5"/>
    <mergeCell ref="AN5:AO5"/>
    <mergeCell ref="AR5:AS5"/>
  </mergeCells>
  <conditionalFormatting sqref="E16">
    <cfRule type="top10" dxfId="351" priority="17" bottom="1" rank="1"/>
    <cfRule type="top10" dxfId="350" priority="18" rank="1"/>
  </conditionalFormatting>
  <conditionalFormatting sqref="E17">
    <cfRule type="top10" dxfId="349" priority="15" bottom="1" rank="1"/>
    <cfRule type="top10" dxfId="348" priority="16" rank="1"/>
  </conditionalFormatting>
  <conditionalFormatting sqref="E18:E21 E8:E15">
    <cfRule type="top10" dxfId="347" priority="35" bottom="1" rank="1"/>
    <cfRule type="top10" dxfId="346" priority="36" rank="1"/>
  </conditionalFormatting>
  <conditionalFormatting sqref="E22:E23 E7">
    <cfRule type="top10" dxfId="345" priority="68" rank="1"/>
    <cfRule type="top10" dxfId="344" priority="67" bottom="1" rank="1"/>
  </conditionalFormatting>
  <conditionalFormatting sqref="I7">
    <cfRule type="top10" dxfId="343" priority="66" rank="1"/>
    <cfRule type="top10" dxfId="342" priority="65" bottom="1" rank="1"/>
  </conditionalFormatting>
  <conditionalFormatting sqref="I16">
    <cfRule type="top10" dxfId="341" priority="13" bottom="1" rank="1"/>
    <cfRule type="top10" dxfId="340" priority="14" rank="1"/>
  </conditionalFormatting>
  <conditionalFormatting sqref="I17">
    <cfRule type="top10" dxfId="339" priority="11" bottom="1" rank="1"/>
    <cfRule type="top10" dxfId="338" priority="12" rank="1"/>
  </conditionalFormatting>
  <conditionalFormatting sqref="I18:I23 I8:I15">
    <cfRule type="top10" dxfId="337" priority="33" bottom="1" rank="1"/>
    <cfRule type="top10" dxfId="336" priority="34" rank="1"/>
  </conditionalFormatting>
  <conditionalFormatting sqref="M16">
    <cfRule type="top10" dxfId="335" priority="9" bottom="1" rank="1"/>
    <cfRule type="top10" dxfId="334" priority="10" rank="1"/>
  </conditionalFormatting>
  <conditionalFormatting sqref="M17">
    <cfRule type="top10" dxfId="333" priority="7" bottom="1" rank="1"/>
    <cfRule type="top10" dxfId="332" priority="8" rank="1"/>
  </conditionalFormatting>
  <conditionalFormatting sqref="M18:M22 M7:M15">
    <cfRule type="top10" dxfId="331" priority="31" bottom="1" rank="1"/>
    <cfRule type="top10" dxfId="330" priority="32" rank="1"/>
  </conditionalFormatting>
  <conditionalFormatting sqref="M23">
    <cfRule type="top10" dxfId="329" priority="64" rank="1"/>
    <cfRule type="top10" dxfId="328" priority="63" bottom="1" rank="1"/>
  </conditionalFormatting>
  <conditionalFormatting sqref="Q16">
    <cfRule type="top10" dxfId="327" priority="5" bottom="1" rank="1"/>
    <cfRule type="top10" dxfId="326" priority="6" rank="1"/>
  </conditionalFormatting>
  <conditionalFormatting sqref="Q17">
    <cfRule type="top10" dxfId="325" priority="3" bottom="1" rank="1"/>
    <cfRule type="top10" dxfId="324" priority="4" rank="1"/>
  </conditionalFormatting>
  <conditionalFormatting sqref="Q18:Q22 Q7:Q15">
    <cfRule type="top10" dxfId="323" priority="29" bottom="1" rank="1"/>
    <cfRule type="top10" dxfId="322" priority="30" rank="1"/>
  </conditionalFormatting>
  <conditionalFormatting sqref="Q23">
    <cfRule type="top10" dxfId="321" priority="61" bottom="1" rank="1"/>
    <cfRule type="top10" dxfId="320" priority="62" rank="1"/>
  </conditionalFormatting>
  <conditionalFormatting sqref="U7:U23">
    <cfRule type="top10" dxfId="319" priority="347" bottom="1" rank="1"/>
    <cfRule type="top10" dxfId="318" priority="348" rank="1"/>
  </conditionalFormatting>
  <conditionalFormatting sqref="Y7:Y12 Y14:Y23">
    <cfRule type="top10" dxfId="317" priority="352" rank="1"/>
    <cfRule type="top10" dxfId="316" priority="351" bottom="1" rank="1"/>
  </conditionalFormatting>
  <conditionalFormatting sqref="Y13">
    <cfRule type="top10" dxfId="315" priority="42" rank="1"/>
    <cfRule type="top10" dxfId="314" priority="41" bottom="1" rank="1"/>
  </conditionalFormatting>
  <conditionalFormatting sqref="AC7:AC12 AC14:AC23">
    <cfRule type="top10" dxfId="313" priority="355" bottom="1" rank="1"/>
    <cfRule type="top10" dxfId="312" priority="356" rank="1"/>
  </conditionalFormatting>
  <conditionalFormatting sqref="AC13">
    <cfRule type="top10" dxfId="311" priority="40" rank="1"/>
    <cfRule type="top10" dxfId="310" priority="39" bottom="1" rank="1"/>
  </conditionalFormatting>
  <conditionalFormatting sqref="AG7:AG12 AG14:AG23">
    <cfRule type="top10" dxfId="309" priority="359" bottom="1" rank="1"/>
    <cfRule type="top10" dxfId="308" priority="360" rank="1"/>
  </conditionalFormatting>
  <conditionalFormatting sqref="AG13">
    <cfRule type="top10" dxfId="307" priority="37" bottom="1" rank="1"/>
    <cfRule type="top10" dxfId="306" priority="38" rank="1"/>
  </conditionalFormatting>
  <conditionalFormatting sqref="AK8:AK22">
    <cfRule type="top10" dxfId="305" priority="365" bottom="1" rank="1"/>
    <cfRule type="top10" dxfId="304" priority="366" rank="1"/>
  </conditionalFormatting>
  <conditionalFormatting sqref="AK23 AK7">
    <cfRule type="top10" dxfId="303" priority="53" bottom="1" rank="1"/>
    <cfRule type="top10" dxfId="302" priority="54" rank="1"/>
  </conditionalFormatting>
  <conditionalFormatting sqref="AO8:AO22">
    <cfRule type="top10" dxfId="301" priority="371" bottom="1" rank="1"/>
    <cfRule type="top10" dxfId="300" priority="372" rank="1"/>
  </conditionalFormatting>
  <conditionalFormatting sqref="AO23 AO7">
    <cfRule type="top10" dxfId="299" priority="51" bottom="1" rank="1"/>
    <cfRule type="top10" dxfId="298" priority="52" rank="1"/>
  </conditionalFormatting>
  <conditionalFormatting sqref="AS9:AS22">
    <cfRule type="top10" dxfId="297" priority="377" bottom="1" rank="1"/>
    <cfRule type="top10" dxfId="296" priority="378" rank="1"/>
  </conditionalFormatting>
  <conditionalFormatting sqref="AS23 AS7:AS8">
    <cfRule type="top10" dxfId="295" priority="49" bottom="1" rank="1"/>
    <cfRule type="top10" dxfId="294" priority="50" rank="1"/>
  </conditionalFormatting>
  <conditionalFormatting sqref="AW16:AW17">
    <cfRule type="top10" dxfId="293" priority="2" rank="1"/>
    <cfRule type="top10" dxfId="292" priority="1" bottom="1" rank="1"/>
  </conditionalFormatting>
  <conditionalFormatting sqref="AW18:AW22 AW9:AW15">
    <cfRule type="top10" dxfId="291" priority="20" rank="1"/>
    <cfRule type="top10" dxfId="290" priority="19" bottom="1" rank="1"/>
  </conditionalFormatting>
  <conditionalFormatting sqref="AW23 AW7:AW8">
    <cfRule type="top10" dxfId="289" priority="47" bottom="1" rank="1"/>
    <cfRule type="top10" dxfId="288" priority="48" rank="1"/>
  </conditionalFormatting>
  <conditionalFormatting sqref="BA7:BA23">
    <cfRule type="top10" dxfId="287" priority="387" bottom="1" rank="1"/>
    <cfRule type="top10" dxfId="286" priority="388" rank="1"/>
  </conditionalFormatting>
  <conditionalFormatting sqref="BD7:BD23">
    <cfRule type="top10" dxfId="285" priority="391" bottom="1" rank="1"/>
    <cfRule type="top10" dxfId="284" priority="392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92D050"/>
  </sheetPr>
  <dimension ref="B1:BF27"/>
  <sheetViews>
    <sheetView zoomScale="70" zoomScaleNormal="70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M22" sqref="M22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style="46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style="46" bestFit="1" customWidth="1"/>
    <col min="9" max="9" width="14" customWidth="1"/>
    <col min="10" max="10" width="8.453125" bestFit="1" customWidth="1"/>
    <col min="11" max="11" width="12.26953125" bestFit="1" customWidth="1"/>
    <col min="12" max="12" width="7.453125" style="46" bestFit="1" customWidth="1"/>
    <col min="13" max="13" width="15.1796875" customWidth="1"/>
    <col min="14" max="14" width="12.26953125" bestFit="1" customWidth="1"/>
    <col min="15" max="15" width="8.7265625" bestFit="1" customWidth="1"/>
    <col min="16" max="16" width="7.453125" style="46" bestFit="1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7.453125" style="46" bestFit="1" customWidth="1"/>
    <col min="21" max="21" width="17.54296875" bestFit="1" customWidth="1"/>
    <col min="22" max="22" width="8.1796875" bestFit="1" customWidth="1"/>
    <col min="23" max="23" width="8.7265625" bestFit="1" customWidth="1"/>
    <col min="24" max="24" width="6.26953125" customWidth="1"/>
    <col min="25" max="25" width="15.26953125" bestFit="1" customWidth="1"/>
    <col min="26" max="26" width="13.453125" bestFit="1" customWidth="1"/>
    <col min="27" max="27" width="8.453125" bestFit="1" customWidth="1"/>
    <col min="28" max="28" width="6.26953125" customWidth="1"/>
    <col min="29" max="29" width="14.816406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5.26953125" bestFit="1" customWidth="1"/>
    <col min="38" max="39" width="8.1796875" customWidth="1"/>
    <col min="40" max="40" width="6.26953125" customWidth="1"/>
    <col min="41" max="41" width="16.81640625" bestFit="1" customWidth="1"/>
    <col min="42" max="43" width="8.1796875" customWidth="1"/>
    <col min="44" max="44" width="6.26953125" customWidth="1"/>
    <col min="45" max="45" width="15.81640625" bestFit="1" customWidth="1"/>
    <col min="46" max="47" width="8.1796875" customWidth="1"/>
    <col min="48" max="48" width="6.26953125" customWidth="1"/>
    <col min="49" max="49" width="16.453125" customWidth="1"/>
    <col min="50" max="51" width="8.1796875" customWidth="1"/>
    <col min="52" max="52" width="6.26953125" customWidth="1"/>
    <col min="53" max="53" width="15.81640625" bestFit="1" customWidth="1"/>
    <col min="54" max="54" width="8.1796875" customWidth="1"/>
    <col min="55" max="55" width="11.453125" customWidth="1"/>
    <col min="56" max="56" width="15.81640625" bestFit="1" customWidth="1"/>
    <col min="57" max="57" width="8.1796875" customWidth="1"/>
    <col min="58" max="58" width="8.26953125" customWidth="1"/>
  </cols>
  <sheetData>
    <row r="1" spans="2:58" x14ac:dyDescent="0.35">
      <c r="B1" t="s">
        <v>13</v>
      </c>
      <c r="BA1" s="8"/>
      <c r="BD1" s="8"/>
    </row>
    <row r="2" spans="2:58" x14ac:dyDescent="0.35">
      <c r="B2" t="s">
        <v>80</v>
      </c>
      <c r="BA2" s="8"/>
      <c r="BD2" s="8"/>
    </row>
    <row r="3" spans="2:58" x14ac:dyDescent="0.35">
      <c r="B3" t="s">
        <v>79</v>
      </c>
    </row>
    <row r="4" spans="2:58" s="6" customFormat="1" x14ac:dyDescent="0.35">
      <c r="D4" s="47"/>
      <c r="H4" s="47"/>
      <c r="L4" s="47"/>
      <c r="P4" s="47"/>
      <c r="T4" s="47"/>
      <c r="X4" s="9"/>
      <c r="AB4" s="9"/>
      <c r="AF4" s="9"/>
      <c r="AJ4" s="9"/>
      <c r="AN4" s="9"/>
      <c r="AR4" s="9"/>
      <c r="AV4" s="9"/>
      <c r="AZ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8" s="14" customFormat="1" ht="29" x14ac:dyDescent="0.35">
      <c r="B6" s="12"/>
      <c r="C6" s="26" t="s">
        <v>68</v>
      </c>
      <c r="D6" s="48" t="s">
        <v>14</v>
      </c>
      <c r="E6" s="13" t="s">
        <v>15</v>
      </c>
      <c r="F6" s="13" t="s">
        <v>27</v>
      </c>
      <c r="G6" s="13" t="s">
        <v>28</v>
      </c>
      <c r="H6" s="48" t="s">
        <v>14</v>
      </c>
      <c r="I6" s="13" t="s">
        <v>15</v>
      </c>
      <c r="J6" s="13" t="s">
        <v>27</v>
      </c>
      <c r="K6" s="13" t="s">
        <v>28</v>
      </c>
      <c r="L6" s="48" t="s">
        <v>14</v>
      </c>
      <c r="M6" s="13" t="s">
        <v>15</v>
      </c>
      <c r="N6" s="13" t="s">
        <v>27</v>
      </c>
      <c r="O6" s="13" t="s">
        <v>28</v>
      </c>
      <c r="P6" s="48" t="s">
        <v>14</v>
      </c>
      <c r="Q6" s="13" t="s">
        <v>15</v>
      </c>
      <c r="R6" s="13" t="s">
        <v>27</v>
      </c>
      <c r="S6" s="13" t="s">
        <v>28</v>
      </c>
      <c r="T6" s="48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14</v>
      </c>
      <c r="BA6" s="13" t="s">
        <v>15</v>
      </c>
      <c r="BB6" s="13" t="s">
        <v>27</v>
      </c>
      <c r="BC6" s="13" t="s">
        <v>28</v>
      </c>
      <c r="BD6" s="13" t="s">
        <v>32</v>
      </c>
      <c r="BE6" s="13" t="s">
        <v>27</v>
      </c>
      <c r="BF6" s="13" t="s">
        <v>28</v>
      </c>
    </row>
    <row r="7" spans="2:58" s="6" customFormat="1" x14ac:dyDescent="0.35">
      <c r="B7" s="23">
        <v>1</v>
      </c>
      <c r="C7" s="3" t="s">
        <v>31</v>
      </c>
      <c r="D7" s="49"/>
      <c r="E7" s="7"/>
      <c r="F7" s="11">
        <f t="shared" ref="F7:F22" si="0">D7/$D$24</f>
        <v>0</v>
      </c>
      <c r="G7" s="11">
        <f t="shared" ref="G7:G22" si="1">E7/$E$24</f>
        <v>0</v>
      </c>
      <c r="H7" s="52"/>
      <c r="I7" s="24"/>
      <c r="J7" s="11">
        <f t="shared" ref="J7:J22" si="2">H7/$H$24</f>
        <v>0</v>
      </c>
      <c r="K7" s="11">
        <f t="shared" ref="K7:K22" si="3">I7/$I$24</f>
        <v>0</v>
      </c>
      <c r="L7" s="49"/>
      <c r="M7" s="7"/>
      <c r="N7" s="11">
        <f t="shared" ref="N7:N22" si="4">L7/$L$24</f>
        <v>0</v>
      </c>
      <c r="O7" s="11">
        <f t="shared" ref="O7:O22" si="5">M7/$M$24</f>
        <v>0</v>
      </c>
      <c r="P7" s="49"/>
      <c r="Q7" s="7"/>
      <c r="R7" s="11" t="e">
        <f t="shared" ref="R7:R22" si="6">P7/$P$24</f>
        <v>#DIV/0!</v>
      </c>
      <c r="S7" s="11" t="e">
        <f t="shared" ref="S7:S22" si="7">Q7/$Q$24</f>
        <v>#DIV/0!</v>
      </c>
      <c r="T7" s="49"/>
      <c r="U7" s="7"/>
      <c r="V7" s="11" t="e">
        <f t="shared" ref="V7:V22" si="8">T7/$P$24</f>
        <v>#DIV/0!</v>
      </c>
      <c r="W7" s="11" t="e">
        <f t="shared" ref="W7:W22" si="9">U7/$Q$24</f>
        <v>#DIV/0!</v>
      </c>
      <c r="X7" s="24">
        <v>0</v>
      </c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4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4"/>
      <c r="AL7" s="11" t="e">
        <f t="shared" ref="AL7:AL22" si="16">AJ7/$AJ$24</f>
        <v>#DIV/0!</v>
      </c>
      <c r="AM7" s="11" t="e">
        <f t="shared" ref="AM7:AM22" si="17">AK7/$AK$24</f>
        <v>#DIV/0!</v>
      </c>
      <c r="AN7" s="25"/>
      <c r="AO7" s="25"/>
      <c r="AP7" s="11" t="e">
        <f t="shared" ref="AP7:AP22" si="18">AN7/$AN$24</f>
        <v>#DIV/0!</v>
      </c>
      <c r="AQ7" s="11" t="e">
        <f t="shared" ref="AQ7:AQ22" si="19">AO7/$AO$24</f>
        <v>#DIV/0!</v>
      </c>
      <c r="AR7" s="24"/>
      <c r="AS7" s="24"/>
      <c r="AT7" s="11" t="e">
        <f t="shared" ref="AT7:AT22" si="20">AR7/$AN$24</f>
        <v>#DIV/0!</v>
      </c>
      <c r="AU7" s="11" t="e">
        <f t="shared" ref="AU7:AU22" si="21">AS7/$AO$24</f>
        <v>#DIV/0!</v>
      </c>
      <c r="AV7" s="24"/>
      <c r="AW7" s="25"/>
      <c r="AX7" s="11" t="e">
        <f t="shared" ref="AX7:AX22" si="22">AV7/$AN$24</f>
        <v>#DIV/0!</v>
      </c>
      <c r="AY7" s="11" t="e">
        <f t="shared" ref="AY7:AY22" si="23">AW7/$AO$24</f>
        <v>#DIV/0!</v>
      </c>
      <c r="AZ7" s="24"/>
      <c r="BA7" s="24"/>
      <c r="BB7" s="11" t="e">
        <f t="shared" ref="BB7:BB22" si="24">AZ7/$AN$24</f>
        <v>#DIV/0!</v>
      </c>
      <c r="BC7" s="11" t="e">
        <f t="shared" ref="BC7:BC22" si="25">BA7/$AO$24</f>
        <v>#DIV/0!</v>
      </c>
      <c r="BD7" s="19">
        <f t="shared" ref="BD7:BD22" si="26">E7+I7+M7+Q7+Y7+AC7+AG7+AK7+AO7+AS7+AW7+BA7</f>
        <v>0</v>
      </c>
      <c r="BE7" s="11" t="e">
        <f t="shared" ref="BE7:BE22" si="27">AVERAGE(F7,J7,N7,R7,Z7,AD7,AH7,AL7,AP7,AT7,AX7,BB7)</f>
        <v>#DIV/0!</v>
      </c>
      <c r="BF7" s="11" t="e">
        <f t="shared" ref="BF7:BF22" si="28">AVERAGE(G7,K7,O7,S7,AA7,AE7,AI7,AM7,AQ7,AU7,AY7,BC7)</f>
        <v>#DIV/0!</v>
      </c>
    </row>
    <row r="8" spans="2:58" x14ac:dyDescent="0.35">
      <c r="B8" s="3">
        <f>B7+1</f>
        <v>2</v>
      </c>
      <c r="C8" s="3" t="s">
        <v>17</v>
      </c>
      <c r="D8" s="49"/>
      <c r="E8" s="7"/>
      <c r="F8" s="11">
        <f t="shared" si="0"/>
        <v>0</v>
      </c>
      <c r="G8" s="11">
        <f t="shared" si="1"/>
        <v>0</v>
      </c>
      <c r="H8" s="49"/>
      <c r="I8" s="7"/>
      <c r="J8" s="11">
        <f t="shared" si="2"/>
        <v>0</v>
      </c>
      <c r="K8" s="11">
        <f t="shared" si="3"/>
        <v>0</v>
      </c>
      <c r="L8" s="49"/>
      <c r="M8" s="7"/>
      <c r="N8" s="11">
        <f t="shared" si="4"/>
        <v>0</v>
      </c>
      <c r="O8" s="11">
        <f t="shared" si="5"/>
        <v>0</v>
      </c>
      <c r="P8" s="49"/>
      <c r="Q8" s="7"/>
      <c r="R8" s="11" t="e">
        <f t="shared" si="6"/>
        <v>#DIV/0!</v>
      </c>
      <c r="S8" s="11" t="e">
        <f t="shared" si="7"/>
        <v>#DIV/0!</v>
      </c>
      <c r="T8" s="49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20"/>
      <c r="AC8" s="7"/>
      <c r="AD8" s="11" t="e">
        <f t="shared" si="12"/>
        <v>#DIV/0!</v>
      </c>
      <c r="AE8" s="11" t="e">
        <f t="shared" si="13"/>
        <v>#DIV/0!</v>
      </c>
      <c r="AF8" s="7"/>
      <c r="AG8" s="20"/>
      <c r="AH8" s="11" t="e">
        <f t="shared" si="14"/>
        <v>#DIV/0!</v>
      </c>
      <c r="AI8" s="11" t="e">
        <f t="shared" si="15"/>
        <v>#DIV/0!</v>
      </c>
      <c r="AJ8" s="7"/>
      <c r="AK8" s="20"/>
      <c r="AL8" s="11" t="e">
        <f t="shared" si="16"/>
        <v>#DIV/0!</v>
      </c>
      <c r="AM8" s="11" t="e">
        <f t="shared" si="17"/>
        <v>#DIV/0!</v>
      </c>
      <c r="AN8" s="7"/>
      <c r="AO8" s="20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7"/>
      <c r="AW8" s="7"/>
      <c r="AX8" s="11" t="e">
        <f t="shared" si="22"/>
        <v>#DIV/0!</v>
      </c>
      <c r="AY8" s="11" t="e">
        <f t="shared" si="23"/>
        <v>#DIV/0!</v>
      </c>
      <c r="AZ8" s="20"/>
      <c r="BA8" s="20"/>
      <c r="BB8" s="11" t="e">
        <f t="shared" si="24"/>
        <v>#DIV/0!</v>
      </c>
      <c r="BC8" s="11" t="e">
        <f t="shared" si="25"/>
        <v>#DIV/0!</v>
      </c>
      <c r="BD8" s="19">
        <f t="shared" si="26"/>
        <v>0</v>
      </c>
      <c r="BE8" s="11" t="e">
        <f t="shared" si="27"/>
        <v>#DIV/0!</v>
      </c>
      <c r="BF8" s="11" t="e">
        <f t="shared" si="28"/>
        <v>#DIV/0!</v>
      </c>
    </row>
    <row r="9" spans="2:58" x14ac:dyDescent="0.35">
      <c r="B9" s="3">
        <f t="shared" ref="B9:B22" si="29">B8+1</f>
        <v>3</v>
      </c>
      <c r="C9" s="3" t="s">
        <v>18</v>
      </c>
      <c r="D9" s="49"/>
      <c r="E9" s="7"/>
      <c r="F9" s="11">
        <f t="shared" si="0"/>
        <v>0</v>
      </c>
      <c r="G9" s="11">
        <f t="shared" si="1"/>
        <v>0</v>
      </c>
      <c r="H9" s="49"/>
      <c r="I9" s="7"/>
      <c r="J9" s="11">
        <f t="shared" si="2"/>
        <v>0</v>
      </c>
      <c r="K9" s="11">
        <f t="shared" si="3"/>
        <v>0</v>
      </c>
      <c r="L9" s="49"/>
      <c r="M9" s="7"/>
      <c r="N9" s="11">
        <f t="shared" si="4"/>
        <v>0</v>
      </c>
      <c r="O9" s="11">
        <f t="shared" si="5"/>
        <v>0</v>
      </c>
      <c r="P9" s="49"/>
      <c r="Q9" s="7"/>
      <c r="R9" s="11" t="e">
        <f t="shared" si="6"/>
        <v>#DIV/0!</v>
      </c>
      <c r="S9" s="11" t="e">
        <f t="shared" si="7"/>
        <v>#DIV/0!</v>
      </c>
      <c r="T9" s="49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7"/>
      <c r="AG9" s="20"/>
      <c r="AH9" s="11" t="e">
        <f t="shared" si="14"/>
        <v>#DIV/0!</v>
      </c>
      <c r="AI9" s="11" t="e">
        <f t="shared" si="15"/>
        <v>#DIV/0!</v>
      </c>
      <c r="AJ9" s="7"/>
      <c r="AK9" s="20"/>
      <c r="AL9" s="11" t="e">
        <f t="shared" si="16"/>
        <v>#DIV/0!</v>
      </c>
      <c r="AM9" s="11" t="e">
        <f t="shared" si="17"/>
        <v>#DIV/0!</v>
      </c>
      <c r="AN9" s="7"/>
      <c r="AO9" s="20"/>
      <c r="AP9" s="11" t="e">
        <f t="shared" si="18"/>
        <v>#DIV/0!</v>
      </c>
      <c r="AQ9" s="11" t="e">
        <f t="shared" si="19"/>
        <v>#DIV/0!</v>
      </c>
      <c r="AR9" s="7"/>
      <c r="AS9" s="20"/>
      <c r="AT9" s="11" t="e">
        <f t="shared" si="20"/>
        <v>#DIV/0!</v>
      </c>
      <c r="AU9" s="11" t="e">
        <f t="shared" si="21"/>
        <v>#DIV/0!</v>
      </c>
      <c r="AV9" s="7"/>
      <c r="AW9" s="20"/>
      <c r="AX9" s="11" t="e">
        <f t="shared" si="22"/>
        <v>#DIV/0!</v>
      </c>
      <c r="AY9" s="11" t="e">
        <f t="shared" si="23"/>
        <v>#DIV/0!</v>
      </c>
      <c r="AZ9" s="20"/>
      <c r="BA9" s="20"/>
      <c r="BB9" s="11" t="e">
        <f t="shared" si="24"/>
        <v>#DIV/0!</v>
      </c>
      <c r="BC9" s="11" t="e">
        <f t="shared" si="25"/>
        <v>#DIV/0!</v>
      </c>
      <c r="BD9" s="19">
        <f t="shared" si="26"/>
        <v>0</v>
      </c>
      <c r="BE9" s="11" t="e">
        <f t="shared" si="27"/>
        <v>#DIV/0!</v>
      </c>
      <c r="BF9" s="11" t="e">
        <f t="shared" si="28"/>
        <v>#DIV/0!</v>
      </c>
    </row>
    <row r="10" spans="2:58" x14ac:dyDescent="0.35">
      <c r="B10" s="3">
        <f t="shared" si="29"/>
        <v>4</v>
      </c>
      <c r="C10" s="3" t="s">
        <v>19</v>
      </c>
      <c r="D10" s="49"/>
      <c r="E10" s="7"/>
      <c r="F10" s="11">
        <f t="shared" si="0"/>
        <v>0</v>
      </c>
      <c r="G10" s="11">
        <f t="shared" si="1"/>
        <v>0</v>
      </c>
      <c r="H10" s="49"/>
      <c r="I10" s="7"/>
      <c r="J10" s="11">
        <f t="shared" si="2"/>
        <v>0</v>
      </c>
      <c r="K10" s="11">
        <f t="shared" si="3"/>
        <v>0</v>
      </c>
      <c r="L10" s="49"/>
      <c r="M10" s="7"/>
      <c r="N10" s="11">
        <f t="shared" si="4"/>
        <v>0</v>
      </c>
      <c r="O10" s="11">
        <f t="shared" si="5"/>
        <v>0</v>
      </c>
      <c r="P10" s="49"/>
      <c r="Q10" s="7"/>
      <c r="R10" s="11" t="e">
        <f t="shared" si="6"/>
        <v>#DIV/0!</v>
      </c>
      <c r="S10" s="11" t="e">
        <f t="shared" si="7"/>
        <v>#DIV/0!</v>
      </c>
      <c r="T10" s="49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7"/>
      <c r="AG10" s="7"/>
      <c r="AH10" s="11" t="e">
        <f t="shared" si="14"/>
        <v>#DIV/0!</v>
      </c>
      <c r="AI10" s="11" t="e">
        <f t="shared" si="15"/>
        <v>#DIV/0!</v>
      </c>
      <c r="AJ10" s="7"/>
      <c r="AK10" s="20"/>
      <c r="AL10" s="11" t="e">
        <f t="shared" si="16"/>
        <v>#DIV/0!</v>
      </c>
      <c r="AM10" s="11" t="e">
        <f t="shared" si="17"/>
        <v>#DIV/0!</v>
      </c>
      <c r="AN10" s="7"/>
      <c r="AO10" s="20"/>
      <c r="AP10" s="11" t="e">
        <f t="shared" si="18"/>
        <v>#DIV/0!</v>
      </c>
      <c r="AQ10" s="11" t="e">
        <f t="shared" si="19"/>
        <v>#DIV/0!</v>
      </c>
      <c r="AR10" s="7"/>
      <c r="AS10" s="20"/>
      <c r="AT10" s="11" t="e">
        <f t="shared" si="20"/>
        <v>#DIV/0!</v>
      </c>
      <c r="AU10" s="11" t="e">
        <f t="shared" si="21"/>
        <v>#DIV/0!</v>
      </c>
      <c r="AV10" s="7"/>
      <c r="AW10" s="20"/>
      <c r="AX10" s="11" t="e">
        <f t="shared" si="22"/>
        <v>#DIV/0!</v>
      </c>
      <c r="AY10" s="11" t="e">
        <f t="shared" si="23"/>
        <v>#DIV/0!</v>
      </c>
      <c r="AZ10" s="20"/>
      <c r="BA10" s="20"/>
      <c r="BB10" s="11" t="e">
        <f t="shared" si="24"/>
        <v>#DIV/0!</v>
      </c>
      <c r="BC10" s="11" t="e">
        <f t="shared" si="25"/>
        <v>#DIV/0!</v>
      </c>
      <c r="BD10" s="19">
        <f t="shared" si="26"/>
        <v>0</v>
      </c>
      <c r="BE10" s="11" t="e">
        <f t="shared" si="27"/>
        <v>#DIV/0!</v>
      </c>
      <c r="BF10" s="11" t="e">
        <f t="shared" si="28"/>
        <v>#DIV/0!</v>
      </c>
    </row>
    <row r="11" spans="2:58" x14ac:dyDescent="0.35">
      <c r="B11" s="3">
        <f t="shared" si="29"/>
        <v>5</v>
      </c>
      <c r="C11" s="3" t="s">
        <v>20</v>
      </c>
      <c r="D11" s="49"/>
      <c r="E11" s="7"/>
      <c r="F11" s="11">
        <f t="shared" si="0"/>
        <v>0</v>
      </c>
      <c r="G11" s="11">
        <f t="shared" si="1"/>
        <v>0</v>
      </c>
      <c r="H11" s="49"/>
      <c r="I11" s="7"/>
      <c r="J11" s="11">
        <f t="shared" si="2"/>
        <v>0</v>
      </c>
      <c r="K11" s="11">
        <f t="shared" si="3"/>
        <v>0</v>
      </c>
      <c r="L11" s="49"/>
      <c r="M11" s="7"/>
      <c r="N11" s="11">
        <f t="shared" si="4"/>
        <v>0</v>
      </c>
      <c r="O11" s="11">
        <f t="shared" si="5"/>
        <v>0</v>
      </c>
      <c r="P11" s="49"/>
      <c r="Q11" s="7"/>
      <c r="R11" s="11" t="e">
        <f t="shared" si="6"/>
        <v>#DIV/0!</v>
      </c>
      <c r="S11" s="11" t="e">
        <f t="shared" si="7"/>
        <v>#DIV/0!</v>
      </c>
      <c r="T11" s="49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7"/>
      <c r="AK11" s="20"/>
      <c r="AL11" s="11" t="e">
        <f t="shared" si="16"/>
        <v>#DIV/0!</v>
      </c>
      <c r="AM11" s="11" t="e">
        <f t="shared" si="17"/>
        <v>#DIV/0!</v>
      </c>
      <c r="AN11" s="7"/>
      <c r="AO11" s="20"/>
      <c r="AP11" s="11" t="e">
        <f t="shared" si="18"/>
        <v>#DIV/0!</v>
      </c>
      <c r="AQ11" s="11" t="e">
        <f t="shared" si="19"/>
        <v>#DIV/0!</v>
      </c>
      <c r="AR11" s="7"/>
      <c r="AS11" s="20"/>
      <c r="AT11" s="11" t="e">
        <f t="shared" si="20"/>
        <v>#DIV/0!</v>
      </c>
      <c r="AU11" s="11" t="e">
        <f t="shared" si="21"/>
        <v>#DIV/0!</v>
      </c>
      <c r="AV11" s="7"/>
      <c r="AW11" s="20"/>
      <c r="AX11" s="11" t="e">
        <f t="shared" si="22"/>
        <v>#DIV/0!</v>
      </c>
      <c r="AY11" s="11" t="e">
        <f t="shared" si="23"/>
        <v>#DIV/0!</v>
      </c>
      <c r="AZ11" s="20"/>
      <c r="BA11" s="20"/>
      <c r="BB11" s="11" t="e">
        <f t="shared" si="24"/>
        <v>#DIV/0!</v>
      </c>
      <c r="BC11" s="11" t="e">
        <f t="shared" si="25"/>
        <v>#DIV/0!</v>
      </c>
      <c r="BD11" s="19">
        <f t="shared" si="26"/>
        <v>0</v>
      </c>
      <c r="BE11" s="11" t="e">
        <f t="shared" si="27"/>
        <v>#DIV/0!</v>
      </c>
      <c r="BF11" s="11" t="e">
        <f t="shared" si="28"/>
        <v>#DIV/0!</v>
      </c>
    </row>
    <row r="12" spans="2:58" x14ac:dyDescent="0.35">
      <c r="B12" s="3">
        <f t="shared" si="29"/>
        <v>6</v>
      </c>
      <c r="C12" s="3" t="s">
        <v>30</v>
      </c>
      <c r="D12" s="49"/>
      <c r="E12" s="7"/>
      <c r="F12" s="11">
        <f t="shared" si="0"/>
        <v>0</v>
      </c>
      <c r="G12" s="11">
        <f t="shared" si="1"/>
        <v>0</v>
      </c>
      <c r="H12" s="49"/>
      <c r="I12" s="7"/>
      <c r="J12" s="11">
        <f t="shared" si="2"/>
        <v>0</v>
      </c>
      <c r="K12" s="11">
        <f t="shared" si="3"/>
        <v>0</v>
      </c>
      <c r="L12" s="49"/>
      <c r="M12" s="7"/>
      <c r="N12" s="11">
        <f t="shared" si="4"/>
        <v>0</v>
      </c>
      <c r="O12" s="11">
        <f t="shared" si="5"/>
        <v>0</v>
      </c>
      <c r="P12" s="49"/>
      <c r="Q12" s="7"/>
      <c r="R12" s="11" t="e">
        <f t="shared" si="6"/>
        <v>#DIV/0!</v>
      </c>
      <c r="S12" s="11" t="e">
        <f t="shared" si="7"/>
        <v>#DIV/0!</v>
      </c>
      <c r="T12" s="49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7"/>
      <c r="AG12" s="7"/>
      <c r="AH12" s="11" t="e">
        <f t="shared" si="14"/>
        <v>#DIV/0!</v>
      </c>
      <c r="AI12" s="11" t="e">
        <f t="shared" si="15"/>
        <v>#DIV/0!</v>
      </c>
      <c r="AJ12" s="7"/>
      <c r="AK12" s="20"/>
      <c r="AL12" s="11" t="e">
        <f t="shared" si="16"/>
        <v>#DIV/0!</v>
      </c>
      <c r="AM12" s="11" t="e">
        <f t="shared" si="17"/>
        <v>#DIV/0!</v>
      </c>
      <c r="AN12" s="7"/>
      <c r="AO12" s="20"/>
      <c r="AP12" s="11" t="e">
        <f t="shared" si="18"/>
        <v>#DIV/0!</v>
      </c>
      <c r="AQ12" s="11" t="e">
        <f t="shared" si="19"/>
        <v>#DIV/0!</v>
      </c>
      <c r="AR12" s="7"/>
      <c r="AS12" s="20"/>
      <c r="AT12" s="11" t="e">
        <f t="shared" si="20"/>
        <v>#DIV/0!</v>
      </c>
      <c r="AU12" s="11" t="e">
        <f t="shared" si="21"/>
        <v>#DIV/0!</v>
      </c>
      <c r="AV12" s="7"/>
      <c r="AW12" s="20"/>
      <c r="AX12" s="11" t="e">
        <f t="shared" si="22"/>
        <v>#DIV/0!</v>
      </c>
      <c r="AY12" s="11" t="e">
        <f t="shared" si="23"/>
        <v>#DIV/0!</v>
      </c>
      <c r="AZ12" s="20"/>
      <c r="BA12" s="20"/>
      <c r="BB12" s="11" t="e">
        <f t="shared" si="24"/>
        <v>#DIV/0!</v>
      </c>
      <c r="BC12" s="11" t="e">
        <f t="shared" si="25"/>
        <v>#DIV/0!</v>
      </c>
      <c r="BD12" s="19">
        <f t="shared" si="26"/>
        <v>0</v>
      </c>
      <c r="BE12" s="11" t="e">
        <f t="shared" si="27"/>
        <v>#DIV/0!</v>
      </c>
      <c r="BF12" s="11" t="e">
        <f t="shared" si="28"/>
        <v>#DIV/0!</v>
      </c>
    </row>
    <row r="13" spans="2:58" x14ac:dyDescent="0.35">
      <c r="B13" s="3">
        <f>B12+1</f>
        <v>7</v>
      </c>
      <c r="C13" s="3" t="s">
        <v>39</v>
      </c>
      <c r="D13" s="49"/>
      <c r="E13" s="7"/>
      <c r="F13" s="11">
        <f t="shared" si="0"/>
        <v>0</v>
      </c>
      <c r="G13" s="11">
        <f t="shared" si="1"/>
        <v>0</v>
      </c>
      <c r="H13" s="49"/>
      <c r="I13" s="7"/>
      <c r="J13" s="11">
        <f t="shared" si="2"/>
        <v>0</v>
      </c>
      <c r="K13" s="11">
        <f t="shared" si="3"/>
        <v>0</v>
      </c>
      <c r="L13" s="49"/>
      <c r="M13" s="7"/>
      <c r="N13" s="11">
        <f t="shared" si="4"/>
        <v>0</v>
      </c>
      <c r="O13" s="11">
        <f t="shared" si="5"/>
        <v>0</v>
      </c>
      <c r="P13" s="49"/>
      <c r="Q13" s="7"/>
      <c r="R13" s="11" t="e">
        <f t="shared" si="6"/>
        <v>#DIV/0!</v>
      </c>
      <c r="S13" s="11" t="e">
        <f t="shared" si="7"/>
        <v>#DIV/0!</v>
      </c>
      <c r="T13" s="49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7"/>
      <c r="AG13" s="7"/>
      <c r="AH13" s="11" t="e">
        <f t="shared" si="14"/>
        <v>#DIV/0!</v>
      </c>
      <c r="AI13" s="11" t="e">
        <f t="shared" si="15"/>
        <v>#DIV/0!</v>
      </c>
      <c r="AJ13" s="7"/>
      <c r="AK13" s="20"/>
      <c r="AL13" s="11" t="e">
        <f t="shared" si="16"/>
        <v>#DIV/0!</v>
      </c>
      <c r="AM13" s="11" t="e">
        <f t="shared" si="17"/>
        <v>#DIV/0!</v>
      </c>
      <c r="AN13" s="7"/>
      <c r="AO13" s="20"/>
      <c r="AP13" s="11" t="e">
        <f t="shared" si="18"/>
        <v>#DIV/0!</v>
      </c>
      <c r="AQ13" s="11" t="e">
        <f t="shared" si="19"/>
        <v>#DIV/0!</v>
      </c>
      <c r="AR13" s="7"/>
      <c r="AS13" s="20"/>
      <c r="AT13" s="11" t="e">
        <f t="shared" si="20"/>
        <v>#DIV/0!</v>
      </c>
      <c r="AU13" s="11" t="e">
        <f t="shared" si="21"/>
        <v>#DIV/0!</v>
      </c>
      <c r="AV13" s="7"/>
      <c r="AW13" s="20"/>
      <c r="AX13" s="11" t="e">
        <f t="shared" si="22"/>
        <v>#DIV/0!</v>
      </c>
      <c r="AY13" s="11" t="e">
        <f t="shared" si="23"/>
        <v>#DIV/0!</v>
      </c>
      <c r="AZ13" s="20"/>
      <c r="BA13" s="20"/>
      <c r="BB13" s="11" t="e">
        <f t="shared" si="24"/>
        <v>#DIV/0!</v>
      </c>
      <c r="BC13" s="11" t="e">
        <f t="shared" si="25"/>
        <v>#DIV/0!</v>
      </c>
      <c r="BD13" s="19">
        <f t="shared" si="26"/>
        <v>0</v>
      </c>
      <c r="BE13" s="11" t="e">
        <f t="shared" si="27"/>
        <v>#DIV/0!</v>
      </c>
      <c r="BF13" s="11" t="e">
        <f t="shared" si="28"/>
        <v>#DIV/0!</v>
      </c>
    </row>
    <row r="14" spans="2:58" x14ac:dyDescent="0.35">
      <c r="B14" s="3">
        <f>B13+1</f>
        <v>8</v>
      </c>
      <c r="C14" s="3" t="s">
        <v>21</v>
      </c>
      <c r="D14" s="49">
        <v>5</v>
      </c>
      <c r="E14" s="7">
        <f>15408501+4515250</f>
        <v>19923751</v>
      </c>
      <c r="F14" s="11">
        <f t="shared" si="0"/>
        <v>0.10638297872340426</v>
      </c>
      <c r="G14" s="11">
        <f t="shared" si="1"/>
        <v>0.11466621094277978</v>
      </c>
      <c r="H14" s="49">
        <v>5</v>
      </c>
      <c r="I14" s="7">
        <f>16099386+5033313</f>
        <v>21132699</v>
      </c>
      <c r="J14" s="11">
        <f t="shared" si="2"/>
        <v>0.11363636363636363</v>
      </c>
      <c r="K14" s="11">
        <f t="shared" si="3"/>
        <v>9.5280940099068068E-2</v>
      </c>
      <c r="L14" s="49">
        <v>4</v>
      </c>
      <c r="M14" s="7">
        <f>4133313+12426261</f>
        <v>16559574</v>
      </c>
      <c r="N14" s="11">
        <f t="shared" si="4"/>
        <v>9.0909090909090912E-2</v>
      </c>
      <c r="O14" s="11">
        <f t="shared" si="5"/>
        <v>9.2792769419333745E-2</v>
      </c>
      <c r="P14" s="49"/>
      <c r="Q14" s="7"/>
      <c r="R14" s="11" t="e">
        <f t="shared" si="6"/>
        <v>#DIV/0!</v>
      </c>
      <c r="S14" s="11" t="e">
        <f t="shared" si="7"/>
        <v>#DIV/0!</v>
      </c>
      <c r="T14" s="49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7"/>
      <c r="AG14" s="7"/>
      <c r="AH14" s="11" t="e">
        <f t="shared" si="14"/>
        <v>#DIV/0!</v>
      </c>
      <c r="AI14" s="11" t="e">
        <f t="shared" si="15"/>
        <v>#DIV/0!</v>
      </c>
      <c r="AJ14" s="7"/>
      <c r="AK14" s="20"/>
      <c r="AL14" s="11" t="e">
        <f t="shared" si="16"/>
        <v>#DIV/0!</v>
      </c>
      <c r="AM14" s="11" t="e">
        <f t="shared" si="17"/>
        <v>#DIV/0!</v>
      </c>
      <c r="AN14" s="7"/>
      <c r="AO14" s="20"/>
      <c r="AP14" s="11" t="e">
        <f t="shared" si="18"/>
        <v>#DIV/0!</v>
      </c>
      <c r="AQ14" s="11" t="e">
        <f t="shared" si="19"/>
        <v>#DIV/0!</v>
      </c>
      <c r="AR14" s="7"/>
      <c r="AS14" s="20"/>
      <c r="AT14" s="11" t="e">
        <f t="shared" si="20"/>
        <v>#DIV/0!</v>
      </c>
      <c r="AU14" s="11" t="e">
        <f t="shared" si="21"/>
        <v>#DIV/0!</v>
      </c>
      <c r="AV14" s="7"/>
      <c r="AW14" s="20"/>
      <c r="AX14" s="11" t="e">
        <f t="shared" si="22"/>
        <v>#DIV/0!</v>
      </c>
      <c r="AY14" s="11" t="e">
        <f t="shared" si="23"/>
        <v>#DIV/0!</v>
      </c>
      <c r="AZ14" s="20"/>
      <c r="BA14" s="20"/>
      <c r="BB14" s="11" t="e">
        <f t="shared" si="24"/>
        <v>#DIV/0!</v>
      </c>
      <c r="BC14" s="11" t="e">
        <f t="shared" si="25"/>
        <v>#DIV/0!</v>
      </c>
      <c r="BD14" s="19">
        <f t="shared" si="26"/>
        <v>57616024</v>
      </c>
      <c r="BE14" s="11" t="e">
        <f t="shared" si="27"/>
        <v>#DIV/0!</v>
      </c>
      <c r="BF14" s="11" t="e">
        <f t="shared" si="28"/>
        <v>#DIV/0!</v>
      </c>
    </row>
    <row r="15" spans="2:58" x14ac:dyDescent="0.35">
      <c r="B15" s="3">
        <f t="shared" si="29"/>
        <v>9</v>
      </c>
      <c r="C15" s="3" t="s">
        <v>22</v>
      </c>
      <c r="D15" s="49"/>
      <c r="E15" s="7"/>
      <c r="F15" s="11">
        <f t="shared" si="0"/>
        <v>0</v>
      </c>
      <c r="G15" s="11">
        <f t="shared" si="1"/>
        <v>0</v>
      </c>
      <c r="H15" s="49"/>
      <c r="I15" s="7"/>
      <c r="J15" s="11">
        <f t="shared" si="2"/>
        <v>0</v>
      </c>
      <c r="K15" s="11">
        <f t="shared" si="3"/>
        <v>0</v>
      </c>
      <c r="L15" s="49"/>
      <c r="M15" s="7"/>
      <c r="N15" s="11">
        <f t="shared" si="4"/>
        <v>0</v>
      </c>
      <c r="O15" s="11">
        <f t="shared" si="5"/>
        <v>0</v>
      </c>
      <c r="P15" s="49"/>
      <c r="Q15" s="7"/>
      <c r="R15" s="11" t="e">
        <f t="shared" si="6"/>
        <v>#DIV/0!</v>
      </c>
      <c r="S15" s="11" t="e">
        <f t="shared" si="7"/>
        <v>#DIV/0!</v>
      </c>
      <c r="T15" s="49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7"/>
      <c r="AG15" s="7"/>
      <c r="AH15" s="11" t="e">
        <f t="shared" si="14"/>
        <v>#DIV/0!</v>
      </c>
      <c r="AI15" s="11" t="e">
        <f t="shared" si="15"/>
        <v>#DIV/0!</v>
      </c>
      <c r="AJ15" s="7"/>
      <c r="AK15" s="20"/>
      <c r="AL15" s="11" t="e">
        <f t="shared" si="16"/>
        <v>#DIV/0!</v>
      </c>
      <c r="AM15" s="11" t="e">
        <f t="shared" si="17"/>
        <v>#DIV/0!</v>
      </c>
      <c r="AN15" s="7"/>
      <c r="AO15" s="20"/>
      <c r="AP15" s="11" t="e">
        <f t="shared" si="18"/>
        <v>#DIV/0!</v>
      </c>
      <c r="AQ15" s="11" t="e">
        <f t="shared" si="19"/>
        <v>#DIV/0!</v>
      </c>
      <c r="AR15" s="7"/>
      <c r="AS15" s="20"/>
      <c r="AT15" s="11" t="e">
        <f t="shared" si="20"/>
        <v>#DIV/0!</v>
      </c>
      <c r="AU15" s="11" t="e">
        <f t="shared" si="21"/>
        <v>#DIV/0!</v>
      </c>
      <c r="AV15" s="7"/>
      <c r="AW15" s="20"/>
      <c r="AX15" s="11" t="e">
        <f t="shared" si="22"/>
        <v>#DIV/0!</v>
      </c>
      <c r="AY15" s="11" t="e">
        <f t="shared" si="23"/>
        <v>#DIV/0!</v>
      </c>
      <c r="AZ15" s="20"/>
      <c r="BA15" s="20"/>
      <c r="BB15" s="11" t="e">
        <f t="shared" si="24"/>
        <v>#DIV/0!</v>
      </c>
      <c r="BC15" s="11" t="e">
        <f t="shared" si="25"/>
        <v>#DIV/0!</v>
      </c>
      <c r="BD15" s="19">
        <f t="shared" si="26"/>
        <v>0</v>
      </c>
      <c r="BE15" s="11" t="e">
        <f t="shared" si="27"/>
        <v>#DIV/0!</v>
      </c>
      <c r="BF15" s="11" t="e">
        <f t="shared" si="28"/>
        <v>#DIV/0!</v>
      </c>
    </row>
    <row r="16" spans="2:58" x14ac:dyDescent="0.35">
      <c r="B16" s="3">
        <f t="shared" si="29"/>
        <v>10</v>
      </c>
      <c r="C16" s="3" t="s">
        <v>29</v>
      </c>
      <c r="D16" s="49">
        <v>13</v>
      </c>
      <c r="E16" s="7">
        <v>47340517</v>
      </c>
      <c r="F16" s="11">
        <f t="shared" si="0"/>
        <v>0.27659574468085107</v>
      </c>
      <c r="G16" s="11">
        <f t="shared" si="1"/>
        <v>0.27245661263595655</v>
      </c>
      <c r="H16" s="49">
        <v>11</v>
      </c>
      <c r="I16" s="7">
        <v>61996236</v>
      </c>
      <c r="J16" s="11">
        <f t="shared" si="2"/>
        <v>0.25</v>
      </c>
      <c r="K16" s="11">
        <f t="shared" si="3"/>
        <v>0.2795222535788584</v>
      </c>
      <c r="L16" s="49">
        <v>11</v>
      </c>
      <c r="M16" s="7">
        <v>49171299</v>
      </c>
      <c r="N16" s="11">
        <f t="shared" si="4"/>
        <v>0.25</v>
      </c>
      <c r="O16" s="11">
        <f t="shared" si="5"/>
        <v>0.27553492681370401</v>
      </c>
      <c r="P16" s="49"/>
      <c r="Q16" s="7"/>
      <c r="R16" s="11" t="e">
        <f t="shared" si="6"/>
        <v>#DIV/0!</v>
      </c>
      <c r="S16" s="11" t="e">
        <f t="shared" si="7"/>
        <v>#DIV/0!</v>
      </c>
      <c r="T16" s="49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7"/>
      <c r="AG16" s="7"/>
      <c r="AH16" s="11" t="e">
        <f t="shared" si="14"/>
        <v>#DIV/0!</v>
      </c>
      <c r="AI16" s="11" t="e">
        <f t="shared" si="15"/>
        <v>#DIV/0!</v>
      </c>
      <c r="AJ16" s="7"/>
      <c r="AK16" s="20"/>
      <c r="AL16" s="11" t="e">
        <f t="shared" si="16"/>
        <v>#DIV/0!</v>
      </c>
      <c r="AM16" s="11" t="e">
        <f t="shared" si="17"/>
        <v>#DIV/0!</v>
      </c>
      <c r="AN16" s="7"/>
      <c r="AO16" s="20"/>
      <c r="AP16" s="11" t="e">
        <f t="shared" si="18"/>
        <v>#DIV/0!</v>
      </c>
      <c r="AQ16" s="11" t="e">
        <f t="shared" si="19"/>
        <v>#DIV/0!</v>
      </c>
      <c r="AR16" s="7"/>
      <c r="AS16" s="20"/>
      <c r="AT16" s="11" t="e">
        <f t="shared" si="20"/>
        <v>#DIV/0!</v>
      </c>
      <c r="AU16" s="11" t="e">
        <f t="shared" si="21"/>
        <v>#DIV/0!</v>
      </c>
      <c r="AV16" s="7"/>
      <c r="AW16" s="20"/>
      <c r="AX16" s="11" t="e">
        <f t="shared" si="22"/>
        <v>#DIV/0!</v>
      </c>
      <c r="AY16" s="11" t="e">
        <f t="shared" si="23"/>
        <v>#DIV/0!</v>
      </c>
      <c r="AZ16" s="20"/>
      <c r="BA16" s="20"/>
      <c r="BB16" s="11" t="e">
        <f t="shared" si="24"/>
        <v>#DIV/0!</v>
      </c>
      <c r="BC16" s="11" t="e">
        <f t="shared" si="25"/>
        <v>#DIV/0!</v>
      </c>
      <c r="BD16" s="19">
        <f t="shared" si="26"/>
        <v>158508052</v>
      </c>
      <c r="BE16" s="11" t="e">
        <f t="shared" si="27"/>
        <v>#DIV/0!</v>
      </c>
      <c r="BF16" s="11" t="e">
        <f t="shared" si="28"/>
        <v>#DIV/0!</v>
      </c>
    </row>
    <row r="17" spans="2:58" x14ac:dyDescent="0.35">
      <c r="B17" s="3">
        <f t="shared" si="29"/>
        <v>11</v>
      </c>
      <c r="C17" s="3" t="s">
        <v>40</v>
      </c>
      <c r="D17" s="49">
        <v>25</v>
      </c>
      <c r="E17" s="7">
        <v>92002435</v>
      </c>
      <c r="F17" s="11">
        <f t="shared" si="0"/>
        <v>0.53191489361702127</v>
      </c>
      <c r="G17" s="11">
        <f t="shared" si="1"/>
        <v>0.52949721259613136</v>
      </c>
      <c r="H17" s="49">
        <v>24</v>
      </c>
      <c r="I17" s="7">
        <v>119511792</v>
      </c>
      <c r="J17" s="11">
        <f t="shared" si="2"/>
        <v>0.54545454545454541</v>
      </c>
      <c r="K17" s="11">
        <f t="shared" si="3"/>
        <v>0.53884247793830231</v>
      </c>
      <c r="L17" s="49">
        <v>24</v>
      </c>
      <c r="M17" s="7">
        <v>96592200</v>
      </c>
      <c r="N17" s="11">
        <f t="shared" si="4"/>
        <v>0.54545454545454541</v>
      </c>
      <c r="O17" s="11">
        <f t="shared" si="5"/>
        <v>0.5412613719595788</v>
      </c>
      <c r="P17" s="49"/>
      <c r="Q17" s="7"/>
      <c r="R17" s="11" t="e">
        <f t="shared" si="6"/>
        <v>#DIV/0!</v>
      </c>
      <c r="S17" s="11" t="e">
        <f t="shared" si="7"/>
        <v>#DIV/0!</v>
      </c>
      <c r="T17" s="49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7"/>
      <c r="AD17" s="11" t="e">
        <f t="shared" si="12"/>
        <v>#DIV/0!</v>
      </c>
      <c r="AE17" s="11" t="e">
        <f t="shared" si="13"/>
        <v>#DIV/0!</v>
      </c>
      <c r="AF17" s="7"/>
      <c r="AG17" s="20"/>
      <c r="AH17" s="11" t="e">
        <f t="shared" si="14"/>
        <v>#DIV/0!</v>
      </c>
      <c r="AI17" s="11" t="e">
        <f t="shared" si="15"/>
        <v>#DIV/0!</v>
      </c>
      <c r="AJ17" s="7"/>
      <c r="AK17" s="20"/>
      <c r="AL17" s="11" t="e">
        <f t="shared" si="16"/>
        <v>#DIV/0!</v>
      </c>
      <c r="AM17" s="11" t="e">
        <f t="shared" si="17"/>
        <v>#DIV/0!</v>
      </c>
      <c r="AN17" s="7"/>
      <c r="AO17" s="20"/>
      <c r="AP17" s="11" t="e">
        <f t="shared" si="18"/>
        <v>#DIV/0!</v>
      </c>
      <c r="AQ17" s="11" t="e">
        <f t="shared" si="19"/>
        <v>#DIV/0!</v>
      </c>
      <c r="AR17" s="7"/>
      <c r="AS17" s="20"/>
      <c r="AT17" s="11" t="e">
        <f t="shared" si="20"/>
        <v>#DIV/0!</v>
      </c>
      <c r="AU17" s="11" t="e">
        <f t="shared" si="21"/>
        <v>#DIV/0!</v>
      </c>
      <c r="AV17" s="7"/>
      <c r="AW17" s="20"/>
      <c r="AX17" s="11" t="e">
        <f t="shared" si="22"/>
        <v>#DIV/0!</v>
      </c>
      <c r="AY17" s="11" t="e">
        <f t="shared" si="23"/>
        <v>#DIV/0!</v>
      </c>
      <c r="AZ17" s="20"/>
      <c r="BA17" s="20"/>
      <c r="BB17" s="11" t="e">
        <f t="shared" si="24"/>
        <v>#DIV/0!</v>
      </c>
      <c r="BC17" s="11" t="e">
        <f t="shared" si="25"/>
        <v>#DIV/0!</v>
      </c>
      <c r="BD17" s="19">
        <f t="shared" si="26"/>
        <v>308106427</v>
      </c>
      <c r="BE17" s="11" t="e">
        <f t="shared" si="27"/>
        <v>#DIV/0!</v>
      </c>
      <c r="BF17" s="11" t="e">
        <f t="shared" si="28"/>
        <v>#DIV/0!</v>
      </c>
    </row>
    <row r="18" spans="2:58" x14ac:dyDescent="0.35">
      <c r="B18" s="3">
        <f t="shared" si="29"/>
        <v>12</v>
      </c>
      <c r="C18" s="3" t="s">
        <v>41</v>
      </c>
      <c r="D18" s="49">
        <v>1</v>
      </c>
      <c r="E18" s="7">
        <v>3458313</v>
      </c>
      <c r="F18" s="11">
        <f t="shared" si="0"/>
        <v>2.1276595744680851E-2</v>
      </c>
      <c r="G18" s="11">
        <f t="shared" si="1"/>
        <v>1.9903463357083592E-2</v>
      </c>
      <c r="H18" s="49">
        <v>1</v>
      </c>
      <c r="I18" s="7">
        <v>4934655</v>
      </c>
      <c r="J18" s="11">
        <f t="shared" si="2"/>
        <v>2.2727272727272728E-2</v>
      </c>
      <c r="K18" s="11">
        <f t="shared" si="3"/>
        <v>2.2248865015517739E-2</v>
      </c>
      <c r="L18" s="49">
        <v>1</v>
      </c>
      <c r="M18" s="7">
        <v>4218284</v>
      </c>
      <c r="N18" s="11">
        <f t="shared" si="4"/>
        <v>2.2727272727272728E-2</v>
      </c>
      <c r="O18" s="11">
        <f t="shared" si="5"/>
        <v>2.3637459185681036E-2</v>
      </c>
      <c r="P18" s="49"/>
      <c r="Q18" s="7"/>
      <c r="R18" s="11" t="e">
        <f t="shared" si="6"/>
        <v>#DIV/0!</v>
      </c>
      <c r="S18" s="11" t="e">
        <f t="shared" si="7"/>
        <v>#DIV/0!</v>
      </c>
      <c r="T18" s="49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7"/>
      <c r="AG18" s="7"/>
      <c r="AH18" s="11" t="e">
        <f t="shared" si="14"/>
        <v>#DIV/0!</v>
      </c>
      <c r="AI18" s="11" t="e">
        <f t="shared" si="15"/>
        <v>#DIV/0!</v>
      </c>
      <c r="AJ18" s="7"/>
      <c r="AK18" s="20"/>
      <c r="AL18" s="11" t="e">
        <f t="shared" si="16"/>
        <v>#DIV/0!</v>
      </c>
      <c r="AM18" s="11" t="e">
        <f t="shared" si="17"/>
        <v>#DIV/0!</v>
      </c>
      <c r="AN18" s="7"/>
      <c r="AO18" s="20"/>
      <c r="AP18" s="11" t="e">
        <f t="shared" si="18"/>
        <v>#DIV/0!</v>
      </c>
      <c r="AQ18" s="11" t="e">
        <f t="shared" si="19"/>
        <v>#DIV/0!</v>
      </c>
      <c r="AR18" s="7"/>
      <c r="AS18" s="20"/>
      <c r="AT18" s="11" t="e">
        <f t="shared" si="20"/>
        <v>#DIV/0!</v>
      </c>
      <c r="AU18" s="11" t="e">
        <f t="shared" si="21"/>
        <v>#DIV/0!</v>
      </c>
      <c r="AV18" s="7"/>
      <c r="AW18" s="20"/>
      <c r="AX18" s="11" t="e">
        <f t="shared" si="22"/>
        <v>#DIV/0!</v>
      </c>
      <c r="AY18" s="11" t="e">
        <f t="shared" si="23"/>
        <v>#DIV/0!</v>
      </c>
      <c r="AZ18" s="20"/>
      <c r="BA18" s="20"/>
      <c r="BB18" s="11" t="e">
        <f t="shared" si="24"/>
        <v>#DIV/0!</v>
      </c>
      <c r="BC18" s="11" t="e">
        <f t="shared" si="25"/>
        <v>#DIV/0!</v>
      </c>
      <c r="BD18" s="19">
        <f t="shared" si="26"/>
        <v>12611252</v>
      </c>
      <c r="BE18" s="11" t="e">
        <f t="shared" si="27"/>
        <v>#DIV/0!</v>
      </c>
      <c r="BF18" s="11" t="e">
        <f t="shared" si="28"/>
        <v>#DIV/0!</v>
      </c>
    </row>
    <row r="19" spans="2:58" x14ac:dyDescent="0.35">
      <c r="B19" s="3">
        <f t="shared" si="29"/>
        <v>13</v>
      </c>
      <c r="C19" s="3" t="s">
        <v>23</v>
      </c>
      <c r="D19" s="49">
        <v>2</v>
      </c>
      <c r="E19" s="7">
        <v>7315316</v>
      </c>
      <c r="F19" s="11">
        <f t="shared" si="0"/>
        <v>4.2553191489361701E-2</v>
      </c>
      <c r="G19" s="11">
        <f t="shared" si="1"/>
        <v>4.2101488197131755E-2</v>
      </c>
      <c r="H19" s="49">
        <v>2</v>
      </c>
      <c r="I19" s="7">
        <v>9538437</v>
      </c>
      <c r="J19" s="11">
        <f t="shared" si="2"/>
        <v>4.5454545454545456E-2</v>
      </c>
      <c r="K19" s="11">
        <f t="shared" si="3"/>
        <v>4.3005923873506859E-2</v>
      </c>
      <c r="L19" s="49">
        <v>2</v>
      </c>
      <c r="M19" s="7">
        <v>8197820</v>
      </c>
      <c r="N19" s="11">
        <f t="shared" si="4"/>
        <v>4.5454545454545456E-2</v>
      </c>
      <c r="O19" s="11">
        <f t="shared" si="5"/>
        <v>4.5937076702649633E-2</v>
      </c>
      <c r="P19" s="49"/>
      <c r="Q19" s="7"/>
      <c r="R19" s="11" t="e">
        <f t="shared" si="6"/>
        <v>#DIV/0!</v>
      </c>
      <c r="S19" s="11" t="e">
        <f t="shared" si="7"/>
        <v>#DIV/0!</v>
      </c>
      <c r="T19" s="49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7"/>
      <c r="AG19" s="7"/>
      <c r="AH19" s="11" t="e">
        <f t="shared" si="14"/>
        <v>#DIV/0!</v>
      </c>
      <c r="AI19" s="11" t="e">
        <f t="shared" si="15"/>
        <v>#DIV/0!</v>
      </c>
      <c r="AJ19" s="7"/>
      <c r="AK19" s="20"/>
      <c r="AL19" s="11" t="e">
        <f t="shared" si="16"/>
        <v>#DIV/0!</v>
      </c>
      <c r="AM19" s="11" t="e">
        <f t="shared" si="17"/>
        <v>#DIV/0!</v>
      </c>
      <c r="AN19" s="7"/>
      <c r="AO19" s="20"/>
      <c r="AP19" s="11" t="e">
        <f t="shared" si="18"/>
        <v>#DIV/0!</v>
      </c>
      <c r="AQ19" s="11" t="e">
        <f t="shared" si="19"/>
        <v>#DIV/0!</v>
      </c>
      <c r="AR19" s="7"/>
      <c r="AS19" s="20"/>
      <c r="AT19" s="11" t="e">
        <f t="shared" si="20"/>
        <v>#DIV/0!</v>
      </c>
      <c r="AU19" s="11" t="e">
        <f t="shared" si="21"/>
        <v>#DIV/0!</v>
      </c>
      <c r="AV19" s="7"/>
      <c r="AW19" s="20"/>
      <c r="AX19" s="11" t="e">
        <f t="shared" si="22"/>
        <v>#DIV/0!</v>
      </c>
      <c r="AY19" s="11" t="e">
        <f t="shared" si="23"/>
        <v>#DIV/0!</v>
      </c>
      <c r="AZ19" s="20"/>
      <c r="BA19" s="20"/>
      <c r="BB19" s="11" t="e">
        <f t="shared" si="24"/>
        <v>#DIV/0!</v>
      </c>
      <c r="BC19" s="11" t="e">
        <f t="shared" si="25"/>
        <v>#DIV/0!</v>
      </c>
      <c r="BD19" s="19">
        <f t="shared" si="26"/>
        <v>25051573</v>
      </c>
      <c r="BE19" s="11" t="e">
        <f t="shared" si="27"/>
        <v>#DIV/0!</v>
      </c>
      <c r="BF19" s="11" t="e">
        <f t="shared" si="28"/>
        <v>#DIV/0!</v>
      </c>
    </row>
    <row r="20" spans="2:58" x14ac:dyDescent="0.35">
      <c r="B20" s="3">
        <f t="shared" si="29"/>
        <v>14</v>
      </c>
      <c r="C20" s="3" t="s">
        <v>24</v>
      </c>
      <c r="D20" s="49"/>
      <c r="E20" s="7"/>
      <c r="F20" s="11">
        <f t="shared" si="0"/>
        <v>0</v>
      </c>
      <c r="G20" s="11">
        <f t="shared" si="1"/>
        <v>0</v>
      </c>
      <c r="H20" s="49"/>
      <c r="I20" s="7"/>
      <c r="J20" s="11">
        <f t="shared" si="2"/>
        <v>0</v>
      </c>
      <c r="K20" s="11">
        <f t="shared" si="3"/>
        <v>0</v>
      </c>
      <c r="L20" s="49"/>
      <c r="M20" s="7"/>
      <c r="N20" s="11">
        <f t="shared" si="4"/>
        <v>0</v>
      </c>
      <c r="O20" s="11">
        <f t="shared" si="5"/>
        <v>0</v>
      </c>
      <c r="P20" s="49"/>
      <c r="Q20" s="7"/>
      <c r="R20" s="11" t="e">
        <f t="shared" si="6"/>
        <v>#DIV/0!</v>
      </c>
      <c r="S20" s="11" t="e">
        <f t="shared" si="7"/>
        <v>#DIV/0!</v>
      </c>
      <c r="T20" s="49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7"/>
      <c r="AG20" s="7"/>
      <c r="AH20" s="11" t="e">
        <f t="shared" si="14"/>
        <v>#DIV/0!</v>
      </c>
      <c r="AI20" s="11" t="e">
        <f t="shared" si="15"/>
        <v>#DIV/0!</v>
      </c>
      <c r="AJ20" s="7"/>
      <c r="AK20" s="20"/>
      <c r="AL20" s="11" t="e">
        <f t="shared" si="16"/>
        <v>#DIV/0!</v>
      </c>
      <c r="AM20" s="11" t="e">
        <f t="shared" si="17"/>
        <v>#DIV/0!</v>
      </c>
      <c r="AN20" s="7"/>
      <c r="AO20" s="20"/>
      <c r="AP20" s="11" t="e">
        <f t="shared" si="18"/>
        <v>#DIV/0!</v>
      </c>
      <c r="AQ20" s="11" t="e">
        <f t="shared" si="19"/>
        <v>#DIV/0!</v>
      </c>
      <c r="AR20" s="7"/>
      <c r="AS20" s="20"/>
      <c r="AT20" s="11" t="e">
        <f t="shared" si="20"/>
        <v>#DIV/0!</v>
      </c>
      <c r="AU20" s="11" t="e">
        <f t="shared" si="21"/>
        <v>#DIV/0!</v>
      </c>
      <c r="AV20" s="7"/>
      <c r="AW20" s="20"/>
      <c r="AX20" s="11" t="e">
        <f t="shared" si="22"/>
        <v>#DIV/0!</v>
      </c>
      <c r="AY20" s="11" t="e">
        <f t="shared" si="23"/>
        <v>#DIV/0!</v>
      </c>
      <c r="AZ20" s="20"/>
      <c r="BA20" s="20"/>
      <c r="BB20" s="11" t="e">
        <f t="shared" si="24"/>
        <v>#DIV/0!</v>
      </c>
      <c r="BC20" s="11" t="e">
        <f t="shared" si="25"/>
        <v>#DIV/0!</v>
      </c>
      <c r="BD20" s="19">
        <f t="shared" si="26"/>
        <v>0</v>
      </c>
      <c r="BE20" s="11" t="e">
        <f t="shared" si="27"/>
        <v>#DIV/0!</v>
      </c>
      <c r="BF20" s="11" t="e">
        <f t="shared" si="28"/>
        <v>#DIV/0!</v>
      </c>
    </row>
    <row r="21" spans="2:58" x14ac:dyDescent="0.35">
      <c r="B21" s="3">
        <f t="shared" si="29"/>
        <v>15</v>
      </c>
      <c r="C21" s="3" t="s">
        <v>25</v>
      </c>
      <c r="D21" s="49"/>
      <c r="E21" s="7"/>
      <c r="F21" s="11">
        <f t="shared" si="0"/>
        <v>0</v>
      </c>
      <c r="G21" s="11">
        <f t="shared" si="1"/>
        <v>0</v>
      </c>
      <c r="H21" s="49"/>
      <c r="I21" s="7"/>
      <c r="J21" s="11">
        <f t="shared" si="2"/>
        <v>0</v>
      </c>
      <c r="K21" s="11">
        <f t="shared" si="3"/>
        <v>0</v>
      </c>
      <c r="L21" s="49"/>
      <c r="M21" s="7"/>
      <c r="N21" s="11">
        <f t="shared" si="4"/>
        <v>0</v>
      </c>
      <c r="O21" s="11">
        <f t="shared" si="5"/>
        <v>0</v>
      </c>
      <c r="P21" s="49"/>
      <c r="Q21" s="7"/>
      <c r="R21" s="11" t="e">
        <f t="shared" si="6"/>
        <v>#DIV/0!</v>
      </c>
      <c r="S21" s="11" t="e">
        <f t="shared" si="7"/>
        <v>#DIV/0!</v>
      </c>
      <c r="T21" s="49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7"/>
      <c r="AK21" s="20"/>
      <c r="AL21" s="11" t="e">
        <f t="shared" si="16"/>
        <v>#DIV/0!</v>
      </c>
      <c r="AM21" s="11" t="e">
        <f t="shared" si="17"/>
        <v>#DIV/0!</v>
      </c>
      <c r="AN21" s="7"/>
      <c r="AO21" s="20"/>
      <c r="AP21" s="11" t="e">
        <f t="shared" si="18"/>
        <v>#DIV/0!</v>
      </c>
      <c r="AQ21" s="11" t="e">
        <f t="shared" si="19"/>
        <v>#DIV/0!</v>
      </c>
      <c r="AR21" s="7"/>
      <c r="AS21" s="20"/>
      <c r="AT21" s="11" t="e">
        <f t="shared" si="20"/>
        <v>#DIV/0!</v>
      </c>
      <c r="AU21" s="11" t="e">
        <f t="shared" si="21"/>
        <v>#DIV/0!</v>
      </c>
      <c r="AV21" s="7"/>
      <c r="AW21" s="20"/>
      <c r="AX21" s="11" t="e">
        <f t="shared" si="22"/>
        <v>#DIV/0!</v>
      </c>
      <c r="AY21" s="11" t="e">
        <f t="shared" si="23"/>
        <v>#DIV/0!</v>
      </c>
      <c r="AZ21" s="20"/>
      <c r="BA21" s="20"/>
      <c r="BB21" s="11" t="e">
        <f t="shared" si="24"/>
        <v>#DIV/0!</v>
      </c>
      <c r="BC21" s="11" t="e">
        <f t="shared" si="25"/>
        <v>#DIV/0!</v>
      </c>
      <c r="BD21" s="19">
        <f t="shared" si="26"/>
        <v>0</v>
      </c>
      <c r="BE21" s="11" t="e">
        <f t="shared" si="27"/>
        <v>#DIV/0!</v>
      </c>
      <c r="BF21" s="11" t="e">
        <f t="shared" si="28"/>
        <v>#DIV/0!</v>
      </c>
    </row>
    <row r="22" spans="2:58" x14ac:dyDescent="0.35">
      <c r="B22" s="3">
        <f t="shared" si="29"/>
        <v>16</v>
      </c>
      <c r="C22" s="3" t="s">
        <v>26</v>
      </c>
      <c r="D22" s="49">
        <v>1</v>
      </c>
      <c r="E22" s="7">
        <v>3714001</v>
      </c>
      <c r="F22" s="11">
        <f t="shared" si="0"/>
        <v>2.1276595744680851E-2</v>
      </c>
      <c r="G22" s="11">
        <f t="shared" si="1"/>
        <v>2.1375012270917006E-2</v>
      </c>
      <c r="H22" s="49">
        <v>1</v>
      </c>
      <c r="I22" s="7">
        <v>4679742</v>
      </c>
      <c r="J22" s="11">
        <f t="shared" si="2"/>
        <v>2.2727272727272728E-2</v>
      </c>
      <c r="K22" s="11">
        <f t="shared" si="3"/>
        <v>2.109953949474665E-2</v>
      </c>
      <c r="L22" s="49">
        <v>2</v>
      </c>
      <c r="M22" s="7">
        <v>3718413</v>
      </c>
      <c r="N22" s="11">
        <f t="shared" si="4"/>
        <v>4.5454545454545456E-2</v>
      </c>
      <c r="O22" s="11">
        <f t="shared" si="5"/>
        <v>2.0836395919052814E-2</v>
      </c>
      <c r="P22" s="49"/>
      <c r="Q22" s="7"/>
      <c r="R22" s="11" t="e">
        <f t="shared" si="6"/>
        <v>#DIV/0!</v>
      </c>
      <c r="S22" s="11" t="e">
        <f t="shared" si="7"/>
        <v>#DIV/0!</v>
      </c>
      <c r="T22" s="49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7"/>
      <c r="AK22" s="20"/>
      <c r="AL22" s="11" t="e">
        <f t="shared" si="16"/>
        <v>#DIV/0!</v>
      </c>
      <c r="AM22" s="11" t="e">
        <f t="shared" si="17"/>
        <v>#DIV/0!</v>
      </c>
      <c r="AN22" s="7"/>
      <c r="AO22" s="20"/>
      <c r="AP22" s="11" t="e">
        <f t="shared" si="18"/>
        <v>#DIV/0!</v>
      </c>
      <c r="AQ22" s="11" t="e">
        <f t="shared" si="19"/>
        <v>#DIV/0!</v>
      </c>
      <c r="AR22" s="7"/>
      <c r="AS22" s="20"/>
      <c r="AT22" s="11" t="e">
        <f t="shared" si="20"/>
        <v>#DIV/0!</v>
      </c>
      <c r="AU22" s="11" t="e">
        <f t="shared" si="21"/>
        <v>#DIV/0!</v>
      </c>
      <c r="AV22" s="7"/>
      <c r="AW22" s="20"/>
      <c r="AX22" s="11" t="e">
        <f t="shared" si="22"/>
        <v>#DIV/0!</v>
      </c>
      <c r="AY22" s="11" t="e">
        <f t="shared" si="23"/>
        <v>#DIV/0!</v>
      </c>
      <c r="AZ22" s="20"/>
      <c r="BA22" s="20"/>
      <c r="BB22" s="11" t="e">
        <f t="shared" si="24"/>
        <v>#DIV/0!</v>
      </c>
      <c r="BC22" s="11" t="e">
        <f t="shared" si="25"/>
        <v>#DIV/0!</v>
      </c>
      <c r="BD22" s="19">
        <f t="shared" si="26"/>
        <v>12112156</v>
      </c>
      <c r="BE22" s="11" t="e">
        <f t="shared" si="27"/>
        <v>#DIV/0!</v>
      </c>
      <c r="BF22" s="11" t="e">
        <f t="shared" si="28"/>
        <v>#DIV/0!</v>
      </c>
    </row>
    <row r="23" spans="2:58" x14ac:dyDescent="0.35">
      <c r="B23" s="18"/>
      <c r="C23" s="18"/>
      <c r="D23" s="50"/>
      <c r="E23" s="17"/>
      <c r="F23" s="7"/>
      <c r="G23" s="7"/>
      <c r="H23" s="49"/>
      <c r="I23" s="7"/>
      <c r="J23" s="7"/>
      <c r="K23" s="7"/>
      <c r="L23" s="54"/>
      <c r="M23" s="17"/>
      <c r="N23" s="7"/>
      <c r="O23" s="7"/>
      <c r="P23" s="54"/>
      <c r="Q23" s="17"/>
      <c r="R23" s="7"/>
      <c r="S23" s="7"/>
      <c r="T23" s="49"/>
      <c r="U23" s="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17"/>
      <c r="BB23" s="7"/>
      <c r="BC23" s="7"/>
      <c r="BD23" s="17"/>
      <c r="BE23" s="7"/>
      <c r="BF23" s="7"/>
    </row>
    <row r="24" spans="2:58" x14ac:dyDescent="0.35">
      <c r="B24" s="4"/>
      <c r="C24" s="4" t="s">
        <v>12</v>
      </c>
      <c r="D24" s="51">
        <f t="shared" ref="D24:AQ24" si="30">SUM(D7:D23)</f>
        <v>47</v>
      </c>
      <c r="E24" s="5">
        <f t="shared" si="30"/>
        <v>173754333</v>
      </c>
      <c r="F24" s="10">
        <f t="shared" si="30"/>
        <v>1</v>
      </c>
      <c r="G24" s="10">
        <f t="shared" si="30"/>
        <v>1.0000000000000002</v>
      </c>
      <c r="H24" s="51">
        <f>SUM(H7:H23)</f>
        <v>44</v>
      </c>
      <c r="I24" s="5">
        <f t="shared" si="30"/>
        <v>221793561</v>
      </c>
      <c r="J24" s="10">
        <f t="shared" si="30"/>
        <v>0.99999999999999989</v>
      </c>
      <c r="K24" s="10">
        <f t="shared" si="30"/>
        <v>1</v>
      </c>
      <c r="L24" s="51">
        <f t="shared" si="30"/>
        <v>44</v>
      </c>
      <c r="M24" s="5">
        <f t="shared" si="30"/>
        <v>178457590</v>
      </c>
      <c r="N24" s="10">
        <f t="shared" si="30"/>
        <v>0.99999999999999989</v>
      </c>
      <c r="O24" s="10">
        <f t="shared" si="30"/>
        <v>1</v>
      </c>
      <c r="P24" s="51">
        <f t="shared" si="30"/>
        <v>0</v>
      </c>
      <c r="Q24" s="5">
        <f t="shared" si="30"/>
        <v>0</v>
      </c>
      <c r="R24" s="10" t="e">
        <f t="shared" si="30"/>
        <v>#DIV/0!</v>
      </c>
      <c r="S24" s="10" t="e">
        <f t="shared" si="30"/>
        <v>#DIV/0!</v>
      </c>
      <c r="T24" s="51">
        <f t="shared" si="30"/>
        <v>0</v>
      </c>
      <c r="U24" s="5">
        <f t="shared" si="30"/>
        <v>0</v>
      </c>
      <c r="V24" s="10" t="e">
        <f t="shared" si="30"/>
        <v>#DIV/0!</v>
      </c>
      <c r="W24" s="10" t="e">
        <f t="shared" si="30"/>
        <v>#DIV/0!</v>
      </c>
      <c r="X24" s="5">
        <f t="shared" si="30"/>
        <v>0</v>
      </c>
      <c r="Y24" s="5">
        <f t="shared" si="30"/>
        <v>0</v>
      </c>
      <c r="Z24" s="10" t="e">
        <f t="shared" si="30"/>
        <v>#DIV/0!</v>
      </c>
      <c r="AA24" s="10" t="e">
        <f t="shared" si="30"/>
        <v>#DIV/0!</v>
      </c>
      <c r="AB24" s="5">
        <f t="shared" si="30"/>
        <v>0</v>
      </c>
      <c r="AC24" s="5">
        <f t="shared" si="30"/>
        <v>0</v>
      </c>
      <c r="AD24" s="10" t="e">
        <f t="shared" si="30"/>
        <v>#DIV/0!</v>
      </c>
      <c r="AE24" s="10" t="e">
        <f t="shared" si="30"/>
        <v>#DIV/0!</v>
      </c>
      <c r="AF24" s="5">
        <f t="shared" si="30"/>
        <v>0</v>
      </c>
      <c r="AG24" s="5">
        <f t="shared" si="30"/>
        <v>0</v>
      </c>
      <c r="AH24" s="10" t="e">
        <f t="shared" si="30"/>
        <v>#DIV/0!</v>
      </c>
      <c r="AI24" s="10" t="e">
        <f t="shared" si="30"/>
        <v>#DIV/0!</v>
      </c>
      <c r="AJ24" s="5">
        <f t="shared" si="30"/>
        <v>0</v>
      </c>
      <c r="AK24" s="5">
        <f t="shared" si="30"/>
        <v>0</v>
      </c>
      <c r="AL24" s="10" t="e">
        <f t="shared" si="30"/>
        <v>#DIV/0!</v>
      </c>
      <c r="AM24" s="10" t="e">
        <f t="shared" si="30"/>
        <v>#DIV/0!</v>
      </c>
      <c r="AN24" s="5">
        <f t="shared" si="30"/>
        <v>0</v>
      </c>
      <c r="AO24" s="5">
        <f t="shared" si="30"/>
        <v>0</v>
      </c>
      <c r="AP24" s="10" t="e">
        <f t="shared" si="30"/>
        <v>#DIV/0!</v>
      </c>
      <c r="AQ24" s="10" t="e">
        <f t="shared" si="30"/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>SUM(AW7:AW23)</f>
        <v>0</v>
      </c>
      <c r="AX24" s="10" t="e">
        <f>SUM(AX7:AX23)</f>
        <v>#DIV/0!</v>
      </c>
      <c r="AY24" s="10" t="e">
        <f>SUM(AY7:AY23)</f>
        <v>#DIV/0!</v>
      </c>
      <c r="AZ24" s="5">
        <f>SUM(AZ7:AZ22)</f>
        <v>0</v>
      </c>
      <c r="BA24" s="5">
        <f t="shared" ref="BA24:BF24" si="31">SUM(BA7:BA23)</f>
        <v>0</v>
      </c>
      <c r="BB24" s="10" t="e">
        <f t="shared" si="31"/>
        <v>#DIV/0!</v>
      </c>
      <c r="BC24" s="10" t="e">
        <f t="shared" si="31"/>
        <v>#DIV/0!</v>
      </c>
      <c r="BD24" s="5">
        <f t="shared" si="31"/>
        <v>574005484</v>
      </c>
      <c r="BE24" s="10" t="e">
        <f t="shared" si="31"/>
        <v>#DIV/0!</v>
      </c>
      <c r="BF24" s="10" t="e">
        <f t="shared" si="31"/>
        <v>#DIV/0!</v>
      </c>
    </row>
    <row r="25" spans="2:58" x14ac:dyDescent="0.35">
      <c r="E25" s="1"/>
      <c r="F25" s="1"/>
      <c r="G25" s="1"/>
      <c r="H25" s="53"/>
      <c r="I25" s="1"/>
      <c r="J25" s="1"/>
      <c r="K25" s="1"/>
      <c r="L25" s="53"/>
      <c r="M25" s="1"/>
      <c r="N25" s="1"/>
      <c r="O25" s="1"/>
      <c r="P25" s="53"/>
      <c r="Q25" s="1"/>
      <c r="R25" s="1"/>
      <c r="S25" s="1"/>
      <c r="T2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2:58" x14ac:dyDescent="0.35">
      <c r="T26"/>
    </row>
    <row r="27" spans="2:58" x14ac:dyDescent="0.35">
      <c r="T27"/>
    </row>
  </sheetData>
  <mergeCells count="12">
    <mergeCell ref="AV5:AW5"/>
    <mergeCell ref="D5:G5"/>
    <mergeCell ref="H5:I5"/>
    <mergeCell ref="L5:M5"/>
    <mergeCell ref="P5:Q5"/>
    <mergeCell ref="T5:U5"/>
    <mergeCell ref="X5:Y5"/>
    <mergeCell ref="AB5:AC5"/>
    <mergeCell ref="AF5:AG5"/>
    <mergeCell ref="AJ5:AK5"/>
    <mergeCell ref="AN5:AO5"/>
    <mergeCell ref="AR5:AS5"/>
  </mergeCells>
  <conditionalFormatting sqref="E15">
    <cfRule type="top10" dxfId="283" priority="3" bottom="1" rank="1"/>
    <cfRule type="top10" dxfId="282" priority="4" rank="1"/>
  </conditionalFormatting>
  <conditionalFormatting sqref="E16:E21 E8:E14">
    <cfRule type="top10" dxfId="281" priority="30" rank="1"/>
    <cfRule type="top10" dxfId="280" priority="29" bottom="1" rank="1"/>
  </conditionalFormatting>
  <conditionalFormatting sqref="E22:E23 E7">
    <cfRule type="top10" dxfId="279" priority="62" rank="1"/>
    <cfRule type="top10" dxfId="278" priority="61" bottom="1" rank="1"/>
  </conditionalFormatting>
  <conditionalFormatting sqref="I7">
    <cfRule type="top10" dxfId="277" priority="59" bottom="1" rank="1"/>
    <cfRule type="top10" dxfId="276" priority="60" rank="1"/>
  </conditionalFormatting>
  <conditionalFormatting sqref="I15">
    <cfRule type="top10" dxfId="275" priority="5" bottom="1" rank="1"/>
    <cfRule type="top10" dxfId="274" priority="6" rank="1"/>
  </conditionalFormatting>
  <conditionalFormatting sqref="I16:I23 I8:I14">
    <cfRule type="top10" dxfId="273" priority="27" bottom="1" rank="1"/>
    <cfRule type="top10" dxfId="272" priority="28" rank="1"/>
  </conditionalFormatting>
  <conditionalFormatting sqref="M15">
    <cfRule type="top10" dxfId="271" priority="7" bottom="1" rank="1"/>
    <cfRule type="top10" dxfId="270" priority="8" rank="1"/>
  </conditionalFormatting>
  <conditionalFormatting sqref="M16:M22 M7:M14">
    <cfRule type="top10" dxfId="269" priority="25" bottom="1" rank="1"/>
    <cfRule type="top10" dxfId="268" priority="26" rank="1"/>
  </conditionalFormatting>
  <conditionalFormatting sqref="M23">
    <cfRule type="top10" dxfId="267" priority="58" rank="1"/>
    <cfRule type="top10" dxfId="266" priority="57" bottom="1" rank="1"/>
  </conditionalFormatting>
  <conditionalFormatting sqref="Q15">
    <cfRule type="top10" dxfId="265" priority="9" bottom="1" rank="1"/>
    <cfRule type="top10" dxfId="264" priority="10" rank="1"/>
  </conditionalFormatting>
  <conditionalFormatting sqref="Q16:Q22 Q7:Q14">
    <cfRule type="top10" dxfId="263" priority="24" rank="1"/>
    <cfRule type="top10" dxfId="262" priority="23" bottom="1" rank="1"/>
  </conditionalFormatting>
  <conditionalFormatting sqref="Q23">
    <cfRule type="top10" dxfId="261" priority="55" bottom="1" rank="1"/>
    <cfRule type="top10" dxfId="260" priority="56" rank="1"/>
  </conditionalFormatting>
  <conditionalFormatting sqref="U15">
    <cfRule type="top10" dxfId="259" priority="11" bottom="1" rank="1"/>
    <cfRule type="top10" dxfId="258" priority="12" rank="1"/>
  </conditionalFormatting>
  <conditionalFormatting sqref="U16:U23 U7:U14">
    <cfRule type="top10" dxfId="257" priority="22" rank="1"/>
    <cfRule type="top10" dxfId="256" priority="21" bottom="1" rank="1"/>
  </conditionalFormatting>
  <conditionalFormatting sqref="Y7:Y12 Y14:Y23">
    <cfRule type="top10" dxfId="255" priority="415" bottom="1" rank="1"/>
    <cfRule type="top10" dxfId="254" priority="416" rank="1"/>
  </conditionalFormatting>
  <conditionalFormatting sqref="Y13">
    <cfRule type="top10" dxfId="253" priority="35" bottom="1" rank="1"/>
    <cfRule type="top10" dxfId="252" priority="36" rank="1"/>
  </conditionalFormatting>
  <conditionalFormatting sqref="AC7:AC12 AC14:AC23">
    <cfRule type="top10" dxfId="251" priority="419" bottom="1" rank="1"/>
    <cfRule type="top10" dxfId="250" priority="420" rank="1"/>
  </conditionalFormatting>
  <conditionalFormatting sqref="AC13">
    <cfRule type="top10" dxfId="249" priority="34" rank="1"/>
    <cfRule type="top10" dxfId="248" priority="33" bottom="1" rank="1"/>
  </conditionalFormatting>
  <conditionalFormatting sqref="AG7:AG12 AG14:AG23">
    <cfRule type="top10" dxfId="247" priority="423" bottom="1" rank="1"/>
    <cfRule type="top10" dxfId="246" priority="424" rank="1"/>
  </conditionalFormatting>
  <conditionalFormatting sqref="AG13">
    <cfRule type="top10" dxfId="245" priority="32" rank="1"/>
    <cfRule type="top10" dxfId="244" priority="31" bottom="1" rank="1"/>
  </conditionalFormatting>
  <conditionalFormatting sqref="AK8:AK22">
    <cfRule type="top10" dxfId="243" priority="429" bottom="1" rank="1"/>
    <cfRule type="top10" dxfId="242" priority="430" rank="1"/>
  </conditionalFormatting>
  <conditionalFormatting sqref="AK23 AK7">
    <cfRule type="top10" dxfId="241" priority="47" bottom="1" rank="1"/>
    <cfRule type="top10" dxfId="240" priority="48" rank="1"/>
  </conditionalFormatting>
  <conditionalFormatting sqref="AO8:AO22">
    <cfRule type="top10" dxfId="239" priority="435" bottom="1" rank="1"/>
    <cfRule type="top10" dxfId="238" priority="436" rank="1"/>
  </conditionalFormatting>
  <conditionalFormatting sqref="AO23 AO7">
    <cfRule type="top10" dxfId="237" priority="45" bottom="1" rank="1"/>
    <cfRule type="top10" dxfId="236" priority="46" rank="1"/>
  </conditionalFormatting>
  <conditionalFormatting sqref="AS9:AS22">
    <cfRule type="top10" dxfId="235" priority="441" bottom="1" rank="1"/>
    <cfRule type="top10" dxfId="234" priority="442" rank="1"/>
  </conditionalFormatting>
  <conditionalFormatting sqref="AS23 AS7:AS8">
    <cfRule type="top10" dxfId="233" priority="44" rank="1"/>
    <cfRule type="top10" dxfId="232" priority="43" bottom="1" rank="1"/>
  </conditionalFormatting>
  <conditionalFormatting sqref="AW9:AW22">
    <cfRule type="top10" dxfId="231" priority="447" bottom="1" rank="1"/>
    <cfRule type="top10" dxfId="230" priority="448" rank="1"/>
  </conditionalFormatting>
  <conditionalFormatting sqref="AW23 AW7:AW8">
    <cfRule type="top10" dxfId="229" priority="42" rank="1"/>
    <cfRule type="top10" dxfId="228" priority="41" bottom="1" rank="1"/>
  </conditionalFormatting>
  <conditionalFormatting sqref="BA7:BA23">
    <cfRule type="top10" dxfId="227" priority="451" bottom="1" rank="1"/>
    <cfRule type="top10" dxfId="226" priority="452" rank="1"/>
  </conditionalFormatting>
  <conditionalFormatting sqref="BD7:BD23">
    <cfRule type="top10" dxfId="225" priority="455" bottom="1" rank="1"/>
    <cfRule type="top10" dxfId="224" priority="456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92D050"/>
  </sheetPr>
  <dimension ref="B1:BF25"/>
  <sheetViews>
    <sheetView zoomScale="85" zoomScaleNormal="85" workbookViewId="0">
      <pane xSplit="3" ySplit="6" topLeftCell="I10" activePane="bottomRight" state="frozen"/>
      <selection pane="topRight" activeCell="D1" sqref="D1"/>
      <selection pane="bottomLeft" activeCell="A7" sqref="A7"/>
      <selection pane="bottomRight" activeCell="M19" sqref="M19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bestFit="1" customWidth="1"/>
    <col min="9" max="9" width="14" customWidth="1"/>
    <col min="10" max="10" width="8.453125" bestFit="1" customWidth="1"/>
    <col min="11" max="11" width="12.26953125" bestFit="1" customWidth="1"/>
    <col min="12" max="12" width="7.453125" bestFit="1" customWidth="1"/>
    <col min="13" max="13" width="15.1796875" customWidth="1"/>
    <col min="14" max="14" width="12.26953125" bestFit="1" customWidth="1"/>
    <col min="15" max="15" width="8.7265625" bestFit="1" customWidth="1"/>
    <col min="16" max="16" width="7.453125" bestFit="1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7.453125" bestFit="1" customWidth="1"/>
    <col min="21" max="21" width="17.54296875" bestFit="1" customWidth="1"/>
    <col min="22" max="23" width="8.7265625" bestFit="1" customWidth="1"/>
    <col min="24" max="24" width="6.26953125" customWidth="1"/>
    <col min="25" max="25" width="15.26953125" bestFit="1" customWidth="1"/>
    <col min="26" max="26" width="13.453125" bestFit="1" customWidth="1"/>
    <col min="27" max="27" width="8.453125" bestFit="1" customWidth="1"/>
    <col min="28" max="28" width="6.26953125" customWidth="1"/>
    <col min="29" max="29" width="14.816406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7265625" bestFit="1" customWidth="1"/>
    <col min="36" max="36" width="6.26953125" customWidth="1"/>
    <col min="37" max="37" width="15.26953125" bestFit="1" customWidth="1"/>
    <col min="38" max="39" width="8.7265625" bestFit="1" customWidth="1"/>
    <col min="40" max="40" width="6.26953125" customWidth="1"/>
    <col min="41" max="41" width="16.81640625" bestFit="1" customWidth="1"/>
    <col min="42" max="43" width="8.7265625" bestFit="1" customWidth="1"/>
    <col min="44" max="44" width="6.26953125" customWidth="1"/>
    <col min="45" max="45" width="15.81640625" bestFit="1" customWidth="1"/>
    <col min="46" max="47" width="8.1796875" customWidth="1"/>
    <col min="48" max="48" width="6.26953125" customWidth="1"/>
    <col min="49" max="49" width="16.453125" customWidth="1"/>
    <col min="50" max="51" width="8.1796875" customWidth="1"/>
    <col min="52" max="52" width="6.26953125" customWidth="1"/>
    <col min="53" max="53" width="15.81640625" bestFit="1" customWidth="1"/>
    <col min="54" max="54" width="8.1796875" customWidth="1"/>
    <col min="55" max="55" width="11.453125" customWidth="1"/>
    <col min="56" max="56" width="15.81640625" bestFit="1" customWidth="1"/>
    <col min="57" max="57" width="8.1796875" customWidth="1"/>
    <col min="58" max="58" width="8.26953125" customWidth="1"/>
  </cols>
  <sheetData>
    <row r="1" spans="2:58" x14ac:dyDescent="0.35">
      <c r="B1" t="s">
        <v>13</v>
      </c>
      <c r="BA1" s="8"/>
      <c r="BD1" s="8"/>
    </row>
    <row r="2" spans="2:58" x14ac:dyDescent="0.35">
      <c r="B2" t="s">
        <v>47</v>
      </c>
      <c r="BA2" s="8"/>
      <c r="BD2" s="8"/>
    </row>
    <row r="3" spans="2:58" x14ac:dyDescent="0.35">
      <c r="B3" t="s">
        <v>79</v>
      </c>
    </row>
    <row r="4" spans="2:58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  <c r="AZ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8" s="14" customFormat="1" ht="29" x14ac:dyDescent="0.35">
      <c r="B6" s="12"/>
      <c r="C6" s="26" t="s">
        <v>37</v>
      </c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14</v>
      </c>
      <c r="BA6" s="13" t="s">
        <v>15</v>
      </c>
      <c r="BB6" s="13" t="s">
        <v>27</v>
      </c>
      <c r="BC6" s="13" t="s">
        <v>28</v>
      </c>
      <c r="BD6" s="13" t="s">
        <v>32</v>
      </c>
      <c r="BE6" s="13" t="s">
        <v>27</v>
      </c>
      <c r="BF6" s="13" t="s">
        <v>28</v>
      </c>
    </row>
    <row r="7" spans="2:58" s="6" customFormat="1" x14ac:dyDescent="0.35">
      <c r="B7" s="23">
        <v>1</v>
      </c>
      <c r="C7" s="3" t="s">
        <v>31</v>
      </c>
      <c r="D7" s="7"/>
      <c r="E7" s="7"/>
      <c r="F7" s="11">
        <f t="shared" ref="F7:F22" si="0">D7/$D$24</f>
        <v>0</v>
      </c>
      <c r="G7" s="11">
        <f t="shared" ref="G7:G22" si="1">E7/$E$24</f>
        <v>0</v>
      </c>
      <c r="H7" s="24"/>
      <c r="I7" s="24"/>
      <c r="J7" s="11">
        <f t="shared" ref="J7:J22" si="2">H7/$H$24</f>
        <v>0</v>
      </c>
      <c r="K7" s="11">
        <f t="shared" ref="K7:K22" si="3">I7/$I$24</f>
        <v>0</v>
      </c>
      <c r="L7" s="7"/>
      <c r="M7" s="7"/>
      <c r="N7" s="11">
        <f t="shared" ref="N7:N22" si="4">L7/$L$24</f>
        <v>0</v>
      </c>
      <c r="O7" s="11">
        <f t="shared" ref="O7:O22" si="5">M7/$M$24</f>
        <v>0</v>
      </c>
      <c r="P7" s="7"/>
      <c r="Q7" s="7"/>
      <c r="R7" s="11" t="e">
        <f t="shared" ref="R7:R22" si="6">P7/$P$24</f>
        <v>#DIV/0!</v>
      </c>
      <c r="S7" s="11" t="e">
        <f t="shared" ref="S7:S22" si="7">Q7/$Q$24</f>
        <v>#DIV/0!</v>
      </c>
      <c r="T7" s="7"/>
      <c r="U7" s="7"/>
      <c r="V7" s="11" t="e">
        <f t="shared" ref="V7:V22" si="8">T7/$T$24</f>
        <v>#DIV/0!</v>
      </c>
      <c r="W7" s="11" t="e">
        <f t="shared" ref="W7:W22" si="9">U7/$U$24</f>
        <v>#DIV/0!</v>
      </c>
      <c r="X7" s="24">
        <v>0</v>
      </c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4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4"/>
      <c r="AL7" s="11" t="e">
        <f t="shared" ref="AL7:AL22" si="16">AJ7/$AJ$24</f>
        <v>#DIV/0!</v>
      </c>
      <c r="AM7" s="11" t="e">
        <f t="shared" ref="AM7:AM22" si="17">AK7/$AK$24</f>
        <v>#DIV/0!</v>
      </c>
      <c r="AN7" s="25"/>
      <c r="AO7" s="25"/>
      <c r="AP7" s="11" t="e">
        <f t="shared" ref="AP7:AP22" si="18">AN7/$AN$24</f>
        <v>#DIV/0!</v>
      </c>
      <c r="AQ7" s="11" t="e">
        <f t="shared" ref="AQ7:AQ22" si="19">AO7/$AO$24</f>
        <v>#DIV/0!</v>
      </c>
      <c r="AR7" s="24"/>
      <c r="AS7" s="24"/>
      <c r="AT7" s="11" t="e">
        <f t="shared" ref="AT7:AT22" si="20">AR7/$AN$24</f>
        <v>#DIV/0!</v>
      </c>
      <c r="AU7" s="11" t="e">
        <f t="shared" ref="AU7:AU22" si="21">AS7/$AO$24</f>
        <v>#DIV/0!</v>
      </c>
      <c r="AV7" s="24"/>
      <c r="AW7" s="25"/>
      <c r="AX7" s="11" t="e">
        <f t="shared" ref="AX7:AX22" si="22">AV7/$AN$24</f>
        <v>#DIV/0!</v>
      </c>
      <c r="AY7" s="11" t="e">
        <f t="shared" ref="AY7:AY22" si="23">AW7/$AO$24</f>
        <v>#DIV/0!</v>
      </c>
      <c r="AZ7" s="24"/>
      <c r="BA7" s="24"/>
      <c r="BB7" s="11" t="e">
        <f t="shared" ref="BB7:BB22" si="24">AZ7/$AN$24</f>
        <v>#DIV/0!</v>
      </c>
      <c r="BC7" s="11" t="e">
        <f t="shared" ref="BC7:BC22" si="25">BA7/$AO$24</f>
        <v>#DIV/0!</v>
      </c>
      <c r="BD7" s="19">
        <f t="shared" ref="BD7:BD22" si="26">E7+I7+M7+Q7+Y7+AC7+AG7+AK7+AO7+AS7+AW7+BA7</f>
        <v>0</v>
      </c>
      <c r="BE7" s="11" t="e">
        <f t="shared" ref="BE7:BF22" si="27">AVERAGE(F7,J7,N7,R7,Z7,AD7,AH7,AL7,AP7,AT7,AX7,BB7)</f>
        <v>#DIV/0!</v>
      </c>
      <c r="BF7" s="11" t="e">
        <f t="shared" si="27"/>
        <v>#DIV/0!</v>
      </c>
    </row>
    <row r="8" spans="2:58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7"/>
      <c r="I8" s="7"/>
      <c r="J8" s="11">
        <f t="shared" si="2"/>
        <v>0</v>
      </c>
      <c r="K8" s="11">
        <f t="shared" si="3"/>
        <v>0</v>
      </c>
      <c r="L8" s="7"/>
      <c r="M8" s="7"/>
      <c r="N8" s="11">
        <f t="shared" si="4"/>
        <v>0</v>
      </c>
      <c r="O8" s="11">
        <f t="shared" si="5"/>
        <v>0</v>
      </c>
      <c r="P8" s="7"/>
      <c r="Q8" s="7"/>
      <c r="R8" s="11" t="e">
        <f t="shared" si="6"/>
        <v>#DIV/0!</v>
      </c>
      <c r="S8" s="11" t="e">
        <f t="shared" si="7"/>
        <v>#DIV/0!</v>
      </c>
      <c r="T8" s="7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20"/>
      <c r="AC8" s="7"/>
      <c r="AD8" s="11" t="e">
        <f t="shared" si="12"/>
        <v>#DIV/0!</v>
      </c>
      <c r="AE8" s="11" t="e">
        <f t="shared" si="13"/>
        <v>#DIV/0!</v>
      </c>
      <c r="AF8" s="7"/>
      <c r="AG8" s="20"/>
      <c r="AH8" s="11" t="e">
        <f t="shared" si="14"/>
        <v>#DIV/0!</v>
      </c>
      <c r="AI8" s="11" t="e">
        <f t="shared" si="15"/>
        <v>#DIV/0!</v>
      </c>
      <c r="AJ8" s="7"/>
      <c r="AK8" s="20"/>
      <c r="AL8" s="11" t="e">
        <f t="shared" si="16"/>
        <v>#DIV/0!</v>
      </c>
      <c r="AM8" s="11" t="e">
        <f t="shared" si="17"/>
        <v>#DIV/0!</v>
      </c>
      <c r="AN8" s="7"/>
      <c r="AO8" s="20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7"/>
      <c r="AW8" s="7"/>
      <c r="AX8" s="11" t="e">
        <f t="shared" si="22"/>
        <v>#DIV/0!</v>
      </c>
      <c r="AY8" s="11" t="e">
        <f t="shared" si="23"/>
        <v>#DIV/0!</v>
      </c>
      <c r="AZ8" s="20"/>
      <c r="BA8" s="20"/>
      <c r="BB8" s="11" t="e">
        <f t="shared" si="24"/>
        <v>#DIV/0!</v>
      </c>
      <c r="BC8" s="11" t="e">
        <f t="shared" si="25"/>
        <v>#DIV/0!</v>
      </c>
      <c r="BD8" s="19">
        <f t="shared" si="26"/>
        <v>0</v>
      </c>
      <c r="BE8" s="11" t="e">
        <f t="shared" si="27"/>
        <v>#DIV/0!</v>
      </c>
      <c r="BF8" s="11" t="e">
        <f t="shared" si="27"/>
        <v>#DIV/0!</v>
      </c>
    </row>
    <row r="9" spans="2:58" x14ac:dyDescent="0.35">
      <c r="B9" s="3">
        <f t="shared" ref="B9:B22" si="28">B8+1</f>
        <v>3</v>
      </c>
      <c r="C9" s="3" t="s">
        <v>18</v>
      </c>
      <c r="D9" s="7"/>
      <c r="E9" s="7"/>
      <c r="F9" s="11">
        <f t="shared" si="0"/>
        <v>0</v>
      </c>
      <c r="G9" s="11">
        <f t="shared" si="1"/>
        <v>0</v>
      </c>
      <c r="H9" s="7"/>
      <c r="I9" s="7"/>
      <c r="J9" s="11">
        <f t="shared" si="2"/>
        <v>0</v>
      </c>
      <c r="K9" s="11">
        <f t="shared" si="3"/>
        <v>0</v>
      </c>
      <c r="L9" s="7"/>
      <c r="M9" s="7"/>
      <c r="N9" s="11">
        <f t="shared" si="4"/>
        <v>0</v>
      </c>
      <c r="O9" s="11">
        <f t="shared" si="5"/>
        <v>0</v>
      </c>
      <c r="P9" s="7"/>
      <c r="Q9" s="7"/>
      <c r="R9" s="11" t="e">
        <f t="shared" si="6"/>
        <v>#DIV/0!</v>
      </c>
      <c r="S9" s="11" t="e">
        <f t="shared" si="7"/>
        <v>#DIV/0!</v>
      </c>
      <c r="T9" s="7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7"/>
      <c r="AG9" s="20"/>
      <c r="AH9" s="11" t="e">
        <f t="shared" si="14"/>
        <v>#DIV/0!</v>
      </c>
      <c r="AI9" s="11" t="e">
        <f t="shared" si="15"/>
        <v>#DIV/0!</v>
      </c>
      <c r="AJ9" s="7"/>
      <c r="AK9" s="20"/>
      <c r="AL9" s="11" t="e">
        <f t="shared" si="16"/>
        <v>#DIV/0!</v>
      </c>
      <c r="AM9" s="11" t="e">
        <f t="shared" si="17"/>
        <v>#DIV/0!</v>
      </c>
      <c r="AN9" s="7"/>
      <c r="AO9" s="20"/>
      <c r="AP9" s="11" t="e">
        <f t="shared" si="18"/>
        <v>#DIV/0!</v>
      </c>
      <c r="AQ9" s="11" t="e">
        <f t="shared" si="19"/>
        <v>#DIV/0!</v>
      </c>
      <c r="AR9" s="7"/>
      <c r="AS9" s="20"/>
      <c r="AT9" s="11" t="e">
        <f t="shared" si="20"/>
        <v>#DIV/0!</v>
      </c>
      <c r="AU9" s="11" t="e">
        <f t="shared" si="21"/>
        <v>#DIV/0!</v>
      </c>
      <c r="AV9" s="7"/>
      <c r="AW9" s="20"/>
      <c r="AX9" s="11" t="e">
        <f t="shared" si="22"/>
        <v>#DIV/0!</v>
      </c>
      <c r="AY9" s="11" t="e">
        <f t="shared" si="23"/>
        <v>#DIV/0!</v>
      </c>
      <c r="AZ9" s="20"/>
      <c r="BA9" s="20"/>
      <c r="BB9" s="11" t="e">
        <f t="shared" si="24"/>
        <v>#DIV/0!</v>
      </c>
      <c r="BC9" s="11" t="e">
        <f t="shared" si="25"/>
        <v>#DIV/0!</v>
      </c>
      <c r="BD9" s="19">
        <f t="shared" si="26"/>
        <v>0</v>
      </c>
      <c r="BE9" s="11" t="e">
        <f t="shared" si="27"/>
        <v>#DIV/0!</v>
      </c>
      <c r="BF9" s="11" t="e">
        <f t="shared" si="27"/>
        <v>#DIV/0!</v>
      </c>
    </row>
    <row r="10" spans="2:58" x14ac:dyDescent="0.35">
      <c r="B10" s="3">
        <f t="shared" si="28"/>
        <v>4</v>
      </c>
      <c r="C10" s="3" t="s">
        <v>19</v>
      </c>
      <c r="D10" s="7">
        <v>9</v>
      </c>
      <c r="E10" s="7">
        <v>23701957</v>
      </c>
      <c r="F10" s="11">
        <f t="shared" si="0"/>
        <v>0.81818181818181823</v>
      </c>
      <c r="G10" s="11">
        <f t="shared" si="1"/>
        <v>0.73538305624350253</v>
      </c>
      <c r="H10" s="7">
        <v>5</v>
      </c>
      <c r="I10" s="7">
        <v>27973919</v>
      </c>
      <c r="J10" s="11">
        <f t="shared" si="2"/>
        <v>0.7142857142857143</v>
      </c>
      <c r="K10" s="11">
        <f t="shared" si="3"/>
        <v>0.75443045109537554</v>
      </c>
      <c r="L10" s="7">
        <v>5</v>
      </c>
      <c r="M10" s="7">
        <v>24260624</v>
      </c>
      <c r="N10" s="11">
        <f t="shared" si="4"/>
        <v>0.7142857142857143</v>
      </c>
      <c r="O10" s="11">
        <f t="shared" si="5"/>
        <v>0.76963581205418541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7"/>
      <c r="AG10" s="7"/>
      <c r="AH10" s="11" t="e">
        <f t="shared" si="14"/>
        <v>#DIV/0!</v>
      </c>
      <c r="AI10" s="11" t="e">
        <f t="shared" si="15"/>
        <v>#DIV/0!</v>
      </c>
      <c r="AJ10" s="7"/>
      <c r="AK10" s="20"/>
      <c r="AL10" s="11" t="e">
        <f t="shared" si="16"/>
        <v>#DIV/0!</v>
      </c>
      <c r="AM10" s="11" t="e">
        <f t="shared" si="17"/>
        <v>#DIV/0!</v>
      </c>
      <c r="AN10" s="7"/>
      <c r="AO10" s="20"/>
      <c r="AP10" s="11" t="e">
        <f t="shared" si="18"/>
        <v>#DIV/0!</v>
      </c>
      <c r="AQ10" s="11" t="e">
        <f t="shared" si="19"/>
        <v>#DIV/0!</v>
      </c>
      <c r="AR10" s="7"/>
      <c r="AS10" s="20"/>
      <c r="AT10" s="11" t="e">
        <f t="shared" si="20"/>
        <v>#DIV/0!</v>
      </c>
      <c r="AU10" s="11" t="e">
        <f t="shared" si="21"/>
        <v>#DIV/0!</v>
      </c>
      <c r="AV10" s="7"/>
      <c r="AW10" s="20"/>
      <c r="AX10" s="11" t="e">
        <f t="shared" si="22"/>
        <v>#DIV/0!</v>
      </c>
      <c r="AY10" s="11" t="e">
        <f t="shared" si="23"/>
        <v>#DIV/0!</v>
      </c>
      <c r="AZ10" s="20"/>
      <c r="BA10" s="20"/>
      <c r="BB10" s="11" t="e">
        <f t="shared" si="24"/>
        <v>#DIV/0!</v>
      </c>
      <c r="BC10" s="11" t="e">
        <f t="shared" si="25"/>
        <v>#DIV/0!</v>
      </c>
      <c r="BD10" s="19">
        <f t="shared" si="26"/>
        <v>75936500</v>
      </c>
      <c r="BE10" s="11" t="e">
        <f t="shared" si="27"/>
        <v>#DIV/0!</v>
      </c>
      <c r="BF10" s="11" t="e">
        <f t="shared" si="27"/>
        <v>#DIV/0!</v>
      </c>
    </row>
    <row r="11" spans="2:58" x14ac:dyDescent="0.35">
      <c r="B11" s="3">
        <f t="shared" si="28"/>
        <v>5</v>
      </c>
      <c r="C11" s="3" t="s">
        <v>20</v>
      </c>
      <c r="D11" s="7"/>
      <c r="E11" s="7"/>
      <c r="F11" s="11">
        <f t="shared" si="0"/>
        <v>0</v>
      </c>
      <c r="G11" s="11">
        <f t="shared" si="1"/>
        <v>0</v>
      </c>
      <c r="H11" s="7"/>
      <c r="I11" s="7"/>
      <c r="J11" s="11">
        <f t="shared" si="2"/>
        <v>0</v>
      </c>
      <c r="K11" s="11">
        <f t="shared" si="3"/>
        <v>0</v>
      </c>
      <c r="L11" s="7"/>
      <c r="M11" s="7"/>
      <c r="N11" s="11">
        <f t="shared" si="4"/>
        <v>0</v>
      </c>
      <c r="O11" s="11">
        <f t="shared" si="5"/>
        <v>0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7"/>
      <c r="AK11" s="20"/>
      <c r="AL11" s="11" t="e">
        <f t="shared" si="16"/>
        <v>#DIV/0!</v>
      </c>
      <c r="AM11" s="11" t="e">
        <f t="shared" si="17"/>
        <v>#DIV/0!</v>
      </c>
      <c r="AN11" s="7"/>
      <c r="AO11" s="20"/>
      <c r="AP11" s="11" t="e">
        <f t="shared" si="18"/>
        <v>#DIV/0!</v>
      </c>
      <c r="AQ11" s="11" t="e">
        <f t="shared" si="19"/>
        <v>#DIV/0!</v>
      </c>
      <c r="AR11" s="7"/>
      <c r="AS11" s="20"/>
      <c r="AT11" s="11" t="e">
        <f t="shared" si="20"/>
        <v>#DIV/0!</v>
      </c>
      <c r="AU11" s="11" t="e">
        <f t="shared" si="21"/>
        <v>#DIV/0!</v>
      </c>
      <c r="AV11" s="7"/>
      <c r="AW11" s="20"/>
      <c r="AX11" s="11" t="e">
        <f t="shared" si="22"/>
        <v>#DIV/0!</v>
      </c>
      <c r="AY11" s="11" t="e">
        <f t="shared" si="23"/>
        <v>#DIV/0!</v>
      </c>
      <c r="AZ11" s="20"/>
      <c r="BA11" s="20"/>
      <c r="BB11" s="11" t="e">
        <f t="shared" si="24"/>
        <v>#DIV/0!</v>
      </c>
      <c r="BC11" s="11" t="e">
        <f t="shared" si="25"/>
        <v>#DIV/0!</v>
      </c>
      <c r="BD11" s="19">
        <f t="shared" si="26"/>
        <v>0</v>
      </c>
      <c r="BE11" s="11" t="e">
        <f t="shared" si="27"/>
        <v>#DIV/0!</v>
      </c>
      <c r="BF11" s="11" t="e">
        <f t="shared" si="27"/>
        <v>#DIV/0!</v>
      </c>
    </row>
    <row r="12" spans="2:58" x14ac:dyDescent="0.35">
      <c r="B12" s="3">
        <f t="shared" si="28"/>
        <v>6</v>
      </c>
      <c r="C12" s="3" t="s">
        <v>30</v>
      </c>
      <c r="D12" s="7"/>
      <c r="E12" s="7"/>
      <c r="F12" s="11">
        <f t="shared" si="0"/>
        <v>0</v>
      </c>
      <c r="G12" s="11">
        <f t="shared" si="1"/>
        <v>0</v>
      </c>
      <c r="H12" s="7"/>
      <c r="I12" s="7"/>
      <c r="J12" s="11">
        <f t="shared" si="2"/>
        <v>0</v>
      </c>
      <c r="K12" s="11">
        <f t="shared" si="3"/>
        <v>0</v>
      </c>
      <c r="L12" s="7"/>
      <c r="M12" s="7"/>
      <c r="N12" s="11">
        <f t="shared" si="4"/>
        <v>0</v>
      </c>
      <c r="O12" s="11">
        <f t="shared" si="5"/>
        <v>0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7"/>
      <c r="AG12" s="7"/>
      <c r="AH12" s="11" t="e">
        <f t="shared" si="14"/>
        <v>#DIV/0!</v>
      </c>
      <c r="AI12" s="11" t="e">
        <f t="shared" si="15"/>
        <v>#DIV/0!</v>
      </c>
      <c r="AJ12" s="7"/>
      <c r="AK12" s="20"/>
      <c r="AL12" s="11" t="e">
        <f t="shared" si="16"/>
        <v>#DIV/0!</v>
      </c>
      <c r="AM12" s="11" t="e">
        <f t="shared" si="17"/>
        <v>#DIV/0!</v>
      </c>
      <c r="AN12" s="7"/>
      <c r="AO12" s="20"/>
      <c r="AP12" s="11" t="e">
        <f t="shared" si="18"/>
        <v>#DIV/0!</v>
      </c>
      <c r="AQ12" s="11" t="e">
        <f t="shared" si="19"/>
        <v>#DIV/0!</v>
      </c>
      <c r="AR12" s="7"/>
      <c r="AS12" s="20"/>
      <c r="AT12" s="11" t="e">
        <f t="shared" si="20"/>
        <v>#DIV/0!</v>
      </c>
      <c r="AU12" s="11" t="e">
        <f t="shared" si="21"/>
        <v>#DIV/0!</v>
      </c>
      <c r="AV12" s="7"/>
      <c r="AW12" s="20"/>
      <c r="AX12" s="11" t="e">
        <f t="shared" si="22"/>
        <v>#DIV/0!</v>
      </c>
      <c r="AY12" s="11" t="e">
        <f t="shared" si="23"/>
        <v>#DIV/0!</v>
      </c>
      <c r="AZ12" s="20"/>
      <c r="BA12" s="20"/>
      <c r="BB12" s="11" t="e">
        <f t="shared" si="24"/>
        <v>#DIV/0!</v>
      </c>
      <c r="BC12" s="11" t="e">
        <f t="shared" si="25"/>
        <v>#DIV/0!</v>
      </c>
      <c r="BD12" s="19">
        <f>E12+I12+M12+Q12+Y12+AC12+AG12+AK12+AO12+AS12+AW12+BA12</f>
        <v>0</v>
      </c>
      <c r="BE12" s="11" t="e">
        <f t="shared" si="27"/>
        <v>#DIV/0!</v>
      </c>
      <c r="BF12" s="11" t="e">
        <f t="shared" si="27"/>
        <v>#DIV/0!</v>
      </c>
    </row>
    <row r="13" spans="2:58" x14ac:dyDescent="0.35">
      <c r="B13" s="3">
        <f>B12+1</f>
        <v>7</v>
      </c>
      <c r="C13" s="3" t="s">
        <v>39</v>
      </c>
      <c r="D13" s="7"/>
      <c r="E13" s="7"/>
      <c r="F13" s="11">
        <f t="shared" si="0"/>
        <v>0</v>
      </c>
      <c r="G13" s="11">
        <f t="shared" si="1"/>
        <v>0</v>
      </c>
      <c r="H13" s="7"/>
      <c r="I13" s="7"/>
      <c r="J13" s="11">
        <f t="shared" si="2"/>
        <v>0</v>
      </c>
      <c r="K13" s="11">
        <f t="shared" si="3"/>
        <v>0</v>
      </c>
      <c r="L13" s="7"/>
      <c r="M13" s="7"/>
      <c r="N13" s="11">
        <f t="shared" si="4"/>
        <v>0</v>
      </c>
      <c r="O13" s="11">
        <f t="shared" si="5"/>
        <v>0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7"/>
      <c r="AG13" s="7"/>
      <c r="AH13" s="11" t="e">
        <f t="shared" si="14"/>
        <v>#DIV/0!</v>
      </c>
      <c r="AI13" s="11" t="e">
        <f t="shared" si="15"/>
        <v>#DIV/0!</v>
      </c>
      <c r="AJ13" s="7"/>
      <c r="AK13" s="20"/>
      <c r="AL13" s="11" t="e">
        <f t="shared" si="16"/>
        <v>#DIV/0!</v>
      </c>
      <c r="AM13" s="11" t="e">
        <f t="shared" si="17"/>
        <v>#DIV/0!</v>
      </c>
      <c r="AN13" s="7"/>
      <c r="AO13" s="20"/>
      <c r="AP13" s="11" t="e">
        <f t="shared" si="18"/>
        <v>#DIV/0!</v>
      </c>
      <c r="AQ13" s="11" t="e">
        <f t="shared" si="19"/>
        <v>#DIV/0!</v>
      </c>
      <c r="AR13" s="7"/>
      <c r="AS13" s="20"/>
      <c r="AT13" s="11" t="e">
        <f t="shared" si="20"/>
        <v>#DIV/0!</v>
      </c>
      <c r="AU13" s="11" t="e">
        <f t="shared" si="21"/>
        <v>#DIV/0!</v>
      </c>
      <c r="AV13" s="7"/>
      <c r="AW13" s="20"/>
      <c r="AX13" s="11" t="e">
        <f t="shared" si="22"/>
        <v>#DIV/0!</v>
      </c>
      <c r="AY13" s="11" t="e">
        <f t="shared" si="23"/>
        <v>#DIV/0!</v>
      </c>
      <c r="AZ13" s="20"/>
      <c r="BA13" s="20"/>
      <c r="BB13" s="11" t="e">
        <f t="shared" si="24"/>
        <v>#DIV/0!</v>
      </c>
      <c r="BC13" s="11" t="e">
        <f t="shared" si="25"/>
        <v>#DIV/0!</v>
      </c>
      <c r="BD13" s="19">
        <f t="shared" ref="BD13" si="29">E13+I13+M13+Q13+Y13+AC13+AG13+AK13+AO13+AS13+AW13+BA13</f>
        <v>0</v>
      </c>
      <c r="BE13" s="11" t="e">
        <f t="shared" si="27"/>
        <v>#DIV/0!</v>
      </c>
      <c r="BF13" s="11" t="e">
        <f t="shared" si="27"/>
        <v>#DIV/0!</v>
      </c>
    </row>
    <row r="14" spans="2:58" x14ac:dyDescent="0.35">
      <c r="B14" s="3">
        <f>B13+1</f>
        <v>8</v>
      </c>
      <c r="C14" s="3" t="s">
        <v>21</v>
      </c>
      <c r="D14" s="7">
        <v>1</v>
      </c>
      <c r="E14" s="7">
        <v>3586970</v>
      </c>
      <c r="F14" s="11">
        <f t="shared" si="0"/>
        <v>9.0909090909090912E-2</v>
      </c>
      <c r="G14" s="11">
        <f t="shared" si="1"/>
        <v>0.11129026017783072</v>
      </c>
      <c r="H14" s="7">
        <v>1</v>
      </c>
      <c r="I14" s="7">
        <v>4961489</v>
      </c>
      <c r="J14" s="11">
        <f t="shared" si="2"/>
        <v>0.14285714285714285</v>
      </c>
      <c r="K14" s="11">
        <f t="shared" si="3"/>
        <v>0.13380672133835605</v>
      </c>
      <c r="L14" s="7">
        <v>1</v>
      </c>
      <c r="M14" s="7">
        <v>3401256</v>
      </c>
      <c r="N14" s="11">
        <f t="shared" si="4"/>
        <v>0.14285714285714285</v>
      </c>
      <c r="O14" s="11">
        <f t="shared" si="5"/>
        <v>0.10790029240650077</v>
      </c>
      <c r="P14" s="7"/>
      <c r="Q14" s="7"/>
      <c r="R14" s="11" t="e">
        <f t="shared" si="6"/>
        <v>#DIV/0!</v>
      </c>
      <c r="S14" s="11" t="e">
        <f t="shared" si="7"/>
        <v>#DIV/0!</v>
      </c>
      <c r="T14" s="7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7"/>
      <c r="AG14" s="7"/>
      <c r="AH14" s="11" t="e">
        <f t="shared" si="14"/>
        <v>#DIV/0!</v>
      </c>
      <c r="AI14" s="11" t="e">
        <f t="shared" si="15"/>
        <v>#DIV/0!</v>
      </c>
      <c r="AJ14" s="7"/>
      <c r="AK14" s="20"/>
      <c r="AL14" s="11" t="e">
        <f t="shared" si="16"/>
        <v>#DIV/0!</v>
      </c>
      <c r="AM14" s="11" t="e">
        <f t="shared" si="17"/>
        <v>#DIV/0!</v>
      </c>
      <c r="AN14" s="7"/>
      <c r="AO14" s="20"/>
      <c r="AP14" s="11" t="e">
        <f t="shared" si="18"/>
        <v>#DIV/0!</v>
      </c>
      <c r="AQ14" s="11" t="e">
        <f t="shared" si="19"/>
        <v>#DIV/0!</v>
      </c>
      <c r="AR14" s="7"/>
      <c r="AS14" s="20"/>
      <c r="AT14" s="11" t="e">
        <f t="shared" si="20"/>
        <v>#DIV/0!</v>
      </c>
      <c r="AU14" s="11" t="e">
        <f t="shared" si="21"/>
        <v>#DIV/0!</v>
      </c>
      <c r="AV14" s="7"/>
      <c r="AW14" s="20"/>
      <c r="AX14" s="11" t="e">
        <f t="shared" si="22"/>
        <v>#DIV/0!</v>
      </c>
      <c r="AY14" s="11" t="e">
        <f t="shared" si="23"/>
        <v>#DIV/0!</v>
      </c>
      <c r="AZ14" s="20"/>
      <c r="BA14" s="20"/>
      <c r="BB14" s="11" t="e">
        <f t="shared" si="24"/>
        <v>#DIV/0!</v>
      </c>
      <c r="BC14" s="11" t="e">
        <f t="shared" si="25"/>
        <v>#DIV/0!</v>
      </c>
      <c r="BD14" s="19">
        <f t="shared" si="26"/>
        <v>11949715</v>
      </c>
      <c r="BE14" s="11" t="e">
        <f t="shared" si="27"/>
        <v>#DIV/0!</v>
      </c>
      <c r="BF14" s="11" t="e">
        <f t="shared" si="27"/>
        <v>#DIV/0!</v>
      </c>
    </row>
    <row r="15" spans="2:58" x14ac:dyDescent="0.35">
      <c r="B15" s="3">
        <f t="shared" si="28"/>
        <v>9</v>
      </c>
      <c r="C15" s="3" t="s">
        <v>22</v>
      </c>
      <c r="D15" s="7"/>
      <c r="E15" s="7"/>
      <c r="F15" s="11">
        <f t="shared" si="0"/>
        <v>0</v>
      </c>
      <c r="G15" s="11">
        <f t="shared" si="1"/>
        <v>0</v>
      </c>
      <c r="H15" s="7"/>
      <c r="I15" s="7"/>
      <c r="J15" s="11">
        <f t="shared" si="2"/>
        <v>0</v>
      </c>
      <c r="K15" s="11">
        <f t="shared" si="3"/>
        <v>0</v>
      </c>
      <c r="L15" s="7"/>
      <c r="M15" s="7"/>
      <c r="N15" s="11">
        <f t="shared" si="4"/>
        <v>0</v>
      </c>
      <c r="O15" s="11">
        <f t="shared" si="5"/>
        <v>0</v>
      </c>
      <c r="P15" s="7"/>
      <c r="Q15" s="7"/>
      <c r="R15" s="11" t="e">
        <f t="shared" si="6"/>
        <v>#DIV/0!</v>
      </c>
      <c r="S15" s="11" t="e">
        <f t="shared" si="7"/>
        <v>#DIV/0!</v>
      </c>
      <c r="T15" s="7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7"/>
      <c r="AG15" s="7"/>
      <c r="AH15" s="11" t="e">
        <f t="shared" si="14"/>
        <v>#DIV/0!</v>
      </c>
      <c r="AI15" s="11" t="e">
        <f t="shared" si="15"/>
        <v>#DIV/0!</v>
      </c>
      <c r="AJ15" s="7"/>
      <c r="AK15" s="20"/>
      <c r="AL15" s="11" t="e">
        <f t="shared" si="16"/>
        <v>#DIV/0!</v>
      </c>
      <c r="AM15" s="11" t="e">
        <f t="shared" si="17"/>
        <v>#DIV/0!</v>
      </c>
      <c r="AN15" s="7"/>
      <c r="AO15" s="20"/>
      <c r="AP15" s="11" t="e">
        <f t="shared" si="18"/>
        <v>#DIV/0!</v>
      </c>
      <c r="AQ15" s="11" t="e">
        <f t="shared" si="19"/>
        <v>#DIV/0!</v>
      </c>
      <c r="AR15" s="7"/>
      <c r="AS15" s="20"/>
      <c r="AT15" s="11" t="e">
        <f t="shared" si="20"/>
        <v>#DIV/0!</v>
      </c>
      <c r="AU15" s="11" t="e">
        <f t="shared" si="21"/>
        <v>#DIV/0!</v>
      </c>
      <c r="AV15" s="7"/>
      <c r="AW15" s="20"/>
      <c r="AX15" s="11" t="e">
        <f t="shared" si="22"/>
        <v>#DIV/0!</v>
      </c>
      <c r="AY15" s="11" t="e">
        <f t="shared" si="23"/>
        <v>#DIV/0!</v>
      </c>
      <c r="AZ15" s="20"/>
      <c r="BA15" s="20"/>
      <c r="BB15" s="11" t="e">
        <f t="shared" si="24"/>
        <v>#DIV/0!</v>
      </c>
      <c r="BC15" s="11" t="e">
        <f t="shared" si="25"/>
        <v>#DIV/0!</v>
      </c>
      <c r="BD15" s="19">
        <f t="shared" si="26"/>
        <v>0</v>
      </c>
      <c r="BE15" s="11" t="e">
        <f t="shared" si="27"/>
        <v>#DIV/0!</v>
      </c>
      <c r="BF15" s="11" t="e">
        <f t="shared" si="27"/>
        <v>#DIV/0!</v>
      </c>
    </row>
    <row r="16" spans="2:58" x14ac:dyDescent="0.35">
      <c r="B16" s="3">
        <f t="shared" si="28"/>
        <v>10</v>
      </c>
      <c r="C16" s="3" t="s">
        <v>29</v>
      </c>
      <c r="D16" s="7"/>
      <c r="E16" s="7"/>
      <c r="F16" s="11">
        <f t="shared" si="0"/>
        <v>0</v>
      </c>
      <c r="G16" s="11">
        <f t="shared" si="1"/>
        <v>0</v>
      </c>
      <c r="H16" s="7"/>
      <c r="I16" s="7"/>
      <c r="J16" s="11">
        <f t="shared" si="2"/>
        <v>0</v>
      </c>
      <c r="K16" s="11">
        <f t="shared" si="3"/>
        <v>0</v>
      </c>
      <c r="L16" s="7"/>
      <c r="M16" s="7"/>
      <c r="N16" s="11">
        <f t="shared" si="4"/>
        <v>0</v>
      </c>
      <c r="O16" s="11">
        <f t="shared" si="5"/>
        <v>0</v>
      </c>
      <c r="P16" s="7"/>
      <c r="Q16" s="7"/>
      <c r="R16" s="11" t="e">
        <f t="shared" si="6"/>
        <v>#DIV/0!</v>
      </c>
      <c r="S16" s="11" t="e">
        <f t="shared" si="7"/>
        <v>#DIV/0!</v>
      </c>
      <c r="T16" s="7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7"/>
      <c r="AG16" s="7"/>
      <c r="AH16" s="11" t="e">
        <f t="shared" si="14"/>
        <v>#DIV/0!</v>
      </c>
      <c r="AI16" s="11" t="e">
        <f t="shared" si="15"/>
        <v>#DIV/0!</v>
      </c>
      <c r="AJ16" s="7"/>
      <c r="AK16" s="20"/>
      <c r="AL16" s="11" t="e">
        <f t="shared" si="16"/>
        <v>#DIV/0!</v>
      </c>
      <c r="AM16" s="11" t="e">
        <f t="shared" si="17"/>
        <v>#DIV/0!</v>
      </c>
      <c r="AN16" s="7"/>
      <c r="AO16" s="20"/>
      <c r="AP16" s="11" t="e">
        <f t="shared" si="18"/>
        <v>#DIV/0!</v>
      </c>
      <c r="AQ16" s="11" t="e">
        <f t="shared" si="19"/>
        <v>#DIV/0!</v>
      </c>
      <c r="AR16" s="7"/>
      <c r="AS16" s="20"/>
      <c r="AT16" s="11" t="e">
        <f t="shared" si="20"/>
        <v>#DIV/0!</v>
      </c>
      <c r="AU16" s="11" t="e">
        <f t="shared" si="21"/>
        <v>#DIV/0!</v>
      </c>
      <c r="AV16" s="7"/>
      <c r="AW16" s="20"/>
      <c r="AX16" s="11" t="e">
        <f t="shared" si="22"/>
        <v>#DIV/0!</v>
      </c>
      <c r="AY16" s="11" t="e">
        <f t="shared" si="23"/>
        <v>#DIV/0!</v>
      </c>
      <c r="AZ16" s="20"/>
      <c r="BA16" s="20"/>
      <c r="BB16" s="11" t="e">
        <f t="shared" si="24"/>
        <v>#DIV/0!</v>
      </c>
      <c r="BC16" s="11" t="e">
        <f t="shared" si="25"/>
        <v>#DIV/0!</v>
      </c>
      <c r="BD16" s="19">
        <f t="shared" si="26"/>
        <v>0</v>
      </c>
      <c r="BE16" s="11" t="e">
        <f t="shared" si="27"/>
        <v>#DIV/0!</v>
      </c>
      <c r="BF16" s="11" t="e">
        <f t="shared" si="27"/>
        <v>#DIV/0!</v>
      </c>
    </row>
    <row r="17" spans="2:58" x14ac:dyDescent="0.35">
      <c r="B17" s="3">
        <f t="shared" si="28"/>
        <v>11</v>
      </c>
      <c r="C17" s="3" t="s">
        <v>40</v>
      </c>
      <c r="D17" s="7"/>
      <c r="E17" s="7"/>
      <c r="F17" s="11">
        <f t="shared" si="0"/>
        <v>0</v>
      </c>
      <c r="G17" s="11">
        <f t="shared" si="1"/>
        <v>0</v>
      </c>
      <c r="H17" s="7"/>
      <c r="I17" s="7"/>
      <c r="J17" s="11">
        <f t="shared" si="2"/>
        <v>0</v>
      </c>
      <c r="K17" s="11">
        <f t="shared" si="3"/>
        <v>0</v>
      </c>
      <c r="L17" s="7"/>
      <c r="M17" s="7"/>
      <c r="N17" s="11">
        <f t="shared" si="4"/>
        <v>0</v>
      </c>
      <c r="O17" s="11">
        <f t="shared" si="5"/>
        <v>0</v>
      </c>
      <c r="P17" s="7"/>
      <c r="Q17" s="7"/>
      <c r="R17" s="11" t="e">
        <f t="shared" si="6"/>
        <v>#DIV/0!</v>
      </c>
      <c r="S17" s="11" t="e">
        <f t="shared" si="7"/>
        <v>#DIV/0!</v>
      </c>
      <c r="T17" s="7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7"/>
      <c r="AD17" s="11" t="e">
        <f t="shared" si="12"/>
        <v>#DIV/0!</v>
      </c>
      <c r="AE17" s="11" t="e">
        <f t="shared" si="13"/>
        <v>#DIV/0!</v>
      </c>
      <c r="AF17" s="7"/>
      <c r="AG17" s="20"/>
      <c r="AH17" s="11" t="e">
        <f t="shared" si="14"/>
        <v>#DIV/0!</v>
      </c>
      <c r="AI17" s="11" t="e">
        <f t="shared" si="15"/>
        <v>#DIV/0!</v>
      </c>
      <c r="AJ17" s="7"/>
      <c r="AK17" s="20"/>
      <c r="AL17" s="11" t="e">
        <f t="shared" si="16"/>
        <v>#DIV/0!</v>
      </c>
      <c r="AM17" s="11" t="e">
        <f t="shared" si="17"/>
        <v>#DIV/0!</v>
      </c>
      <c r="AN17" s="7"/>
      <c r="AO17" s="20"/>
      <c r="AP17" s="11" t="e">
        <f t="shared" si="18"/>
        <v>#DIV/0!</v>
      </c>
      <c r="AQ17" s="11" t="e">
        <f t="shared" si="19"/>
        <v>#DIV/0!</v>
      </c>
      <c r="AR17" s="7"/>
      <c r="AS17" s="20"/>
      <c r="AT17" s="11" t="e">
        <f t="shared" si="20"/>
        <v>#DIV/0!</v>
      </c>
      <c r="AU17" s="11" t="e">
        <f t="shared" si="21"/>
        <v>#DIV/0!</v>
      </c>
      <c r="AV17" s="7"/>
      <c r="AW17" s="20"/>
      <c r="AX17" s="11" t="e">
        <f t="shared" si="22"/>
        <v>#DIV/0!</v>
      </c>
      <c r="AY17" s="11" t="e">
        <f t="shared" si="23"/>
        <v>#DIV/0!</v>
      </c>
      <c r="AZ17" s="20"/>
      <c r="BA17" s="20"/>
      <c r="BB17" s="11" t="e">
        <f t="shared" si="24"/>
        <v>#DIV/0!</v>
      </c>
      <c r="BC17" s="11" t="e">
        <f t="shared" si="25"/>
        <v>#DIV/0!</v>
      </c>
      <c r="BD17" s="19">
        <f t="shared" si="26"/>
        <v>0</v>
      </c>
      <c r="BE17" s="11" t="e">
        <f t="shared" si="27"/>
        <v>#DIV/0!</v>
      </c>
      <c r="BF17" s="11" t="e">
        <f t="shared" si="27"/>
        <v>#DIV/0!</v>
      </c>
    </row>
    <row r="18" spans="2:58" x14ac:dyDescent="0.35">
      <c r="B18" s="3">
        <f t="shared" si="28"/>
        <v>12</v>
      </c>
      <c r="C18" s="3" t="s">
        <v>41</v>
      </c>
      <c r="D18" s="7"/>
      <c r="E18" s="7"/>
      <c r="F18" s="11">
        <f t="shared" si="0"/>
        <v>0</v>
      </c>
      <c r="G18" s="11">
        <f t="shared" si="1"/>
        <v>0</v>
      </c>
      <c r="H18" s="7"/>
      <c r="I18" s="7"/>
      <c r="J18" s="11">
        <f t="shared" si="2"/>
        <v>0</v>
      </c>
      <c r="K18" s="11">
        <f t="shared" si="3"/>
        <v>0</v>
      </c>
      <c r="L18" s="7"/>
      <c r="M18" s="7"/>
      <c r="N18" s="11">
        <f t="shared" si="4"/>
        <v>0</v>
      </c>
      <c r="O18" s="11">
        <f t="shared" si="5"/>
        <v>0</v>
      </c>
      <c r="P18" s="7"/>
      <c r="Q18" s="7"/>
      <c r="R18" s="11" t="e">
        <f t="shared" si="6"/>
        <v>#DIV/0!</v>
      </c>
      <c r="S18" s="11" t="e">
        <f t="shared" si="7"/>
        <v>#DIV/0!</v>
      </c>
      <c r="T18" s="7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7"/>
      <c r="AG18" s="7"/>
      <c r="AH18" s="11" t="e">
        <f t="shared" si="14"/>
        <v>#DIV/0!</v>
      </c>
      <c r="AI18" s="11" t="e">
        <f t="shared" si="15"/>
        <v>#DIV/0!</v>
      </c>
      <c r="AJ18" s="7"/>
      <c r="AK18" s="20"/>
      <c r="AL18" s="11" t="e">
        <f t="shared" si="16"/>
        <v>#DIV/0!</v>
      </c>
      <c r="AM18" s="11" t="e">
        <f t="shared" si="17"/>
        <v>#DIV/0!</v>
      </c>
      <c r="AN18" s="7"/>
      <c r="AO18" s="20"/>
      <c r="AP18" s="11" t="e">
        <f t="shared" si="18"/>
        <v>#DIV/0!</v>
      </c>
      <c r="AQ18" s="11" t="e">
        <f t="shared" si="19"/>
        <v>#DIV/0!</v>
      </c>
      <c r="AR18" s="7"/>
      <c r="AS18" s="20"/>
      <c r="AT18" s="11" t="e">
        <f t="shared" si="20"/>
        <v>#DIV/0!</v>
      </c>
      <c r="AU18" s="11" t="e">
        <f t="shared" si="21"/>
        <v>#DIV/0!</v>
      </c>
      <c r="AV18" s="7"/>
      <c r="AW18" s="20"/>
      <c r="AX18" s="11" t="e">
        <f t="shared" si="22"/>
        <v>#DIV/0!</v>
      </c>
      <c r="AY18" s="11" t="e">
        <f t="shared" si="23"/>
        <v>#DIV/0!</v>
      </c>
      <c r="AZ18" s="20"/>
      <c r="BA18" s="20"/>
      <c r="BB18" s="11" t="e">
        <f t="shared" si="24"/>
        <v>#DIV/0!</v>
      </c>
      <c r="BC18" s="11" t="e">
        <f t="shared" si="25"/>
        <v>#DIV/0!</v>
      </c>
      <c r="BD18" s="19">
        <f t="shared" si="26"/>
        <v>0</v>
      </c>
      <c r="BE18" s="11" t="e">
        <f t="shared" si="27"/>
        <v>#DIV/0!</v>
      </c>
      <c r="BF18" s="11" t="e">
        <f t="shared" si="27"/>
        <v>#DIV/0!</v>
      </c>
    </row>
    <row r="19" spans="2:58" x14ac:dyDescent="0.35">
      <c r="B19" s="3">
        <f t="shared" si="28"/>
        <v>13</v>
      </c>
      <c r="C19" s="3" t="s">
        <v>23</v>
      </c>
      <c r="D19" s="7">
        <v>1</v>
      </c>
      <c r="E19" s="7">
        <v>4941836</v>
      </c>
      <c r="F19" s="11">
        <f t="shared" si="0"/>
        <v>9.0909090909090912E-2</v>
      </c>
      <c r="G19" s="11">
        <f t="shared" si="1"/>
        <v>0.15332668357866674</v>
      </c>
      <c r="H19" s="7">
        <v>1</v>
      </c>
      <c r="I19" s="7">
        <v>4144112</v>
      </c>
      <c r="J19" s="11">
        <f t="shared" si="2"/>
        <v>0.14285714285714285</v>
      </c>
      <c r="K19" s="11">
        <f t="shared" si="3"/>
        <v>0.11176282756626839</v>
      </c>
      <c r="L19" s="7">
        <v>1</v>
      </c>
      <c r="M19" s="7">
        <v>3860333</v>
      </c>
      <c r="N19" s="11">
        <f t="shared" si="4"/>
        <v>0.14285714285714285</v>
      </c>
      <c r="O19" s="11">
        <f t="shared" si="5"/>
        <v>0.12246389553931382</v>
      </c>
      <c r="P19" s="7"/>
      <c r="Q19" s="7"/>
      <c r="R19" s="11" t="e">
        <f t="shared" si="6"/>
        <v>#DIV/0!</v>
      </c>
      <c r="S19" s="11" t="e">
        <f t="shared" si="7"/>
        <v>#DIV/0!</v>
      </c>
      <c r="T19" s="7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7"/>
      <c r="AG19" s="7"/>
      <c r="AH19" s="11" t="e">
        <f t="shared" si="14"/>
        <v>#DIV/0!</v>
      </c>
      <c r="AI19" s="11" t="e">
        <f t="shared" si="15"/>
        <v>#DIV/0!</v>
      </c>
      <c r="AJ19" s="7"/>
      <c r="AK19" s="20"/>
      <c r="AL19" s="11" t="e">
        <f t="shared" si="16"/>
        <v>#DIV/0!</v>
      </c>
      <c r="AM19" s="11" t="e">
        <f t="shared" si="17"/>
        <v>#DIV/0!</v>
      </c>
      <c r="AN19" s="7"/>
      <c r="AO19" s="20"/>
      <c r="AP19" s="11" t="e">
        <f t="shared" si="18"/>
        <v>#DIV/0!</v>
      </c>
      <c r="AQ19" s="11" t="e">
        <f t="shared" si="19"/>
        <v>#DIV/0!</v>
      </c>
      <c r="AR19" s="7"/>
      <c r="AS19" s="20"/>
      <c r="AT19" s="11" t="e">
        <f t="shared" si="20"/>
        <v>#DIV/0!</v>
      </c>
      <c r="AU19" s="11" t="e">
        <f t="shared" si="21"/>
        <v>#DIV/0!</v>
      </c>
      <c r="AV19" s="7"/>
      <c r="AW19" s="20"/>
      <c r="AX19" s="11" t="e">
        <f t="shared" si="22"/>
        <v>#DIV/0!</v>
      </c>
      <c r="AY19" s="11" t="e">
        <f t="shared" si="23"/>
        <v>#DIV/0!</v>
      </c>
      <c r="AZ19" s="20"/>
      <c r="BA19" s="20"/>
      <c r="BB19" s="11" t="e">
        <f t="shared" si="24"/>
        <v>#DIV/0!</v>
      </c>
      <c r="BC19" s="11" t="e">
        <f t="shared" si="25"/>
        <v>#DIV/0!</v>
      </c>
      <c r="BD19" s="19">
        <f t="shared" si="26"/>
        <v>12946281</v>
      </c>
      <c r="BE19" s="11" t="e">
        <f t="shared" si="27"/>
        <v>#DIV/0!</v>
      </c>
      <c r="BF19" s="11" t="e">
        <f t="shared" si="27"/>
        <v>#DIV/0!</v>
      </c>
    </row>
    <row r="20" spans="2:58" x14ac:dyDescent="0.35">
      <c r="B20" s="3">
        <f t="shared" si="28"/>
        <v>14</v>
      </c>
      <c r="C20" s="3" t="s">
        <v>24</v>
      </c>
      <c r="D20" s="7"/>
      <c r="E20" s="7"/>
      <c r="F20" s="11">
        <f t="shared" si="0"/>
        <v>0</v>
      </c>
      <c r="G20" s="11">
        <f t="shared" si="1"/>
        <v>0</v>
      </c>
      <c r="H20" s="7"/>
      <c r="I20" s="7"/>
      <c r="J20" s="11">
        <f t="shared" si="2"/>
        <v>0</v>
      </c>
      <c r="K20" s="11">
        <f t="shared" si="3"/>
        <v>0</v>
      </c>
      <c r="L20" s="7"/>
      <c r="M20" s="7"/>
      <c r="N20" s="11">
        <f t="shared" si="4"/>
        <v>0</v>
      </c>
      <c r="O20" s="11">
        <f t="shared" si="5"/>
        <v>0</v>
      </c>
      <c r="P20" s="7"/>
      <c r="Q20" s="7"/>
      <c r="R20" s="11" t="e">
        <f t="shared" si="6"/>
        <v>#DIV/0!</v>
      </c>
      <c r="S20" s="11" t="e">
        <f t="shared" si="7"/>
        <v>#DIV/0!</v>
      </c>
      <c r="T20" s="7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7"/>
      <c r="AG20" s="7"/>
      <c r="AH20" s="11" t="e">
        <f t="shared" si="14"/>
        <v>#DIV/0!</v>
      </c>
      <c r="AI20" s="11" t="e">
        <f t="shared" si="15"/>
        <v>#DIV/0!</v>
      </c>
      <c r="AJ20" s="7"/>
      <c r="AK20" s="20"/>
      <c r="AL20" s="11" t="e">
        <f t="shared" si="16"/>
        <v>#DIV/0!</v>
      </c>
      <c r="AM20" s="11" t="e">
        <f t="shared" si="17"/>
        <v>#DIV/0!</v>
      </c>
      <c r="AN20" s="7"/>
      <c r="AO20" s="20"/>
      <c r="AP20" s="11" t="e">
        <f t="shared" si="18"/>
        <v>#DIV/0!</v>
      </c>
      <c r="AQ20" s="11" t="e">
        <f t="shared" si="19"/>
        <v>#DIV/0!</v>
      </c>
      <c r="AR20" s="7"/>
      <c r="AS20" s="20"/>
      <c r="AT20" s="11" t="e">
        <f t="shared" si="20"/>
        <v>#DIV/0!</v>
      </c>
      <c r="AU20" s="11" t="e">
        <f t="shared" si="21"/>
        <v>#DIV/0!</v>
      </c>
      <c r="AV20" s="7"/>
      <c r="AW20" s="20"/>
      <c r="AX20" s="11" t="e">
        <f t="shared" si="22"/>
        <v>#DIV/0!</v>
      </c>
      <c r="AY20" s="11" t="e">
        <f t="shared" si="23"/>
        <v>#DIV/0!</v>
      </c>
      <c r="AZ20" s="20"/>
      <c r="BA20" s="20"/>
      <c r="BB20" s="11" t="e">
        <f t="shared" si="24"/>
        <v>#DIV/0!</v>
      </c>
      <c r="BC20" s="11" t="e">
        <f t="shared" si="25"/>
        <v>#DIV/0!</v>
      </c>
      <c r="BD20" s="19">
        <f t="shared" si="26"/>
        <v>0</v>
      </c>
      <c r="BE20" s="11" t="e">
        <f t="shared" si="27"/>
        <v>#DIV/0!</v>
      </c>
      <c r="BF20" s="11" t="e">
        <f t="shared" si="27"/>
        <v>#DIV/0!</v>
      </c>
    </row>
    <row r="21" spans="2:58" x14ac:dyDescent="0.35">
      <c r="B21" s="3">
        <f t="shared" si="28"/>
        <v>15</v>
      </c>
      <c r="C21" s="3" t="s">
        <v>25</v>
      </c>
      <c r="D21" s="7"/>
      <c r="E21" s="7"/>
      <c r="F21" s="11">
        <f t="shared" si="0"/>
        <v>0</v>
      </c>
      <c r="G21" s="11">
        <f t="shared" si="1"/>
        <v>0</v>
      </c>
      <c r="H21" s="7"/>
      <c r="I21" s="7"/>
      <c r="J21" s="11">
        <f t="shared" si="2"/>
        <v>0</v>
      </c>
      <c r="K21" s="11">
        <f t="shared" si="3"/>
        <v>0</v>
      </c>
      <c r="L21" s="7"/>
      <c r="M21" s="7"/>
      <c r="N21" s="11">
        <f t="shared" si="4"/>
        <v>0</v>
      </c>
      <c r="O21" s="11">
        <f t="shared" si="5"/>
        <v>0</v>
      </c>
      <c r="P21" s="7"/>
      <c r="Q21" s="7"/>
      <c r="R21" s="11" t="e">
        <f t="shared" si="6"/>
        <v>#DIV/0!</v>
      </c>
      <c r="S21" s="11" t="e">
        <f t="shared" si="7"/>
        <v>#DIV/0!</v>
      </c>
      <c r="T21" s="7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7"/>
      <c r="AK21" s="20"/>
      <c r="AL21" s="11" t="e">
        <f t="shared" si="16"/>
        <v>#DIV/0!</v>
      </c>
      <c r="AM21" s="11" t="e">
        <f t="shared" si="17"/>
        <v>#DIV/0!</v>
      </c>
      <c r="AN21" s="7"/>
      <c r="AO21" s="20"/>
      <c r="AP21" s="11" t="e">
        <f t="shared" si="18"/>
        <v>#DIV/0!</v>
      </c>
      <c r="AQ21" s="11" t="e">
        <f t="shared" si="19"/>
        <v>#DIV/0!</v>
      </c>
      <c r="AR21" s="7"/>
      <c r="AS21" s="20"/>
      <c r="AT21" s="11" t="e">
        <f t="shared" si="20"/>
        <v>#DIV/0!</v>
      </c>
      <c r="AU21" s="11" t="e">
        <f t="shared" si="21"/>
        <v>#DIV/0!</v>
      </c>
      <c r="AV21" s="7"/>
      <c r="AW21" s="20"/>
      <c r="AX21" s="11" t="e">
        <f t="shared" si="22"/>
        <v>#DIV/0!</v>
      </c>
      <c r="AY21" s="11" t="e">
        <f t="shared" si="23"/>
        <v>#DIV/0!</v>
      </c>
      <c r="AZ21" s="20"/>
      <c r="BA21" s="20"/>
      <c r="BB21" s="11" t="e">
        <f t="shared" si="24"/>
        <v>#DIV/0!</v>
      </c>
      <c r="BC21" s="11" t="e">
        <f t="shared" si="25"/>
        <v>#DIV/0!</v>
      </c>
      <c r="BD21" s="19">
        <f t="shared" si="26"/>
        <v>0</v>
      </c>
      <c r="BE21" s="11" t="e">
        <f t="shared" si="27"/>
        <v>#DIV/0!</v>
      </c>
      <c r="BF21" s="11" t="e">
        <f t="shared" si="27"/>
        <v>#DIV/0!</v>
      </c>
    </row>
    <row r="22" spans="2:58" x14ac:dyDescent="0.35">
      <c r="B22" s="3">
        <f t="shared" si="28"/>
        <v>16</v>
      </c>
      <c r="C22" s="3" t="s">
        <v>26</v>
      </c>
      <c r="D22" s="7"/>
      <c r="E22" s="7"/>
      <c r="F22" s="11">
        <f t="shared" si="0"/>
        <v>0</v>
      </c>
      <c r="G22" s="11">
        <f t="shared" si="1"/>
        <v>0</v>
      </c>
      <c r="H22" s="7"/>
      <c r="I22" s="7"/>
      <c r="J22" s="11">
        <f t="shared" si="2"/>
        <v>0</v>
      </c>
      <c r="K22" s="11">
        <f t="shared" si="3"/>
        <v>0</v>
      </c>
      <c r="L22" s="7"/>
      <c r="M22" s="7"/>
      <c r="N22" s="11">
        <f t="shared" si="4"/>
        <v>0</v>
      </c>
      <c r="O22" s="11">
        <f t="shared" si="5"/>
        <v>0</v>
      </c>
      <c r="P22" s="7"/>
      <c r="Q22" s="7"/>
      <c r="R22" s="11" t="e">
        <f t="shared" si="6"/>
        <v>#DIV/0!</v>
      </c>
      <c r="S22" s="11" t="e">
        <f t="shared" si="7"/>
        <v>#DIV/0!</v>
      </c>
      <c r="T22" s="7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7"/>
      <c r="AK22" s="20"/>
      <c r="AL22" s="11" t="e">
        <f t="shared" si="16"/>
        <v>#DIV/0!</v>
      </c>
      <c r="AM22" s="11" t="e">
        <f t="shared" si="17"/>
        <v>#DIV/0!</v>
      </c>
      <c r="AN22" s="7"/>
      <c r="AO22" s="20"/>
      <c r="AP22" s="11" t="e">
        <f t="shared" si="18"/>
        <v>#DIV/0!</v>
      </c>
      <c r="AQ22" s="11" t="e">
        <f t="shared" si="19"/>
        <v>#DIV/0!</v>
      </c>
      <c r="AR22" s="7"/>
      <c r="AS22" s="20"/>
      <c r="AT22" s="11" t="e">
        <f t="shared" si="20"/>
        <v>#DIV/0!</v>
      </c>
      <c r="AU22" s="11" t="e">
        <f t="shared" si="21"/>
        <v>#DIV/0!</v>
      </c>
      <c r="AV22" s="7"/>
      <c r="AW22" s="20"/>
      <c r="AX22" s="11" t="e">
        <f t="shared" si="22"/>
        <v>#DIV/0!</v>
      </c>
      <c r="AY22" s="11" t="e">
        <f t="shared" si="23"/>
        <v>#DIV/0!</v>
      </c>
      <c r="AZ22" s="20"/>
      <c r="BA22" s="20"/>
      <c r="BB22" s="11" t="e">
        <f t="shared" si="24"/>
        <v>#DIV/0!</v>
      </c>
      <c r="BC22" s="11" t="e">
        <f t="shared" si="25"/>
        <v>#DIV/0!</v>
      </c>
      <c r="BD22" s="19">
        <f t="shared" si="26"/>
        <v>0</v>
      </c>
      <c r="BE22" s="11" t="e">
        <f t="shared" si="27"/>
        <v>#DIV/0!</v>
      </c>
      <c r="BF22" s="11" t="e">
        <f t="shared" si="27"/>
        <v>#DIV/0!</v>
      </c>
    </row>
    <row r="23" spans="2:58" x14ac:dyDescent="0.35">
      <c r="B23" s="18"/>
      <c r="C23" s="18"/>
      <c r="D23" s="18"/>
      <c r="E23" s="17"/>
      <c r="F23" s="7"/>
      <c r="G23" s="7"/>
      <c r="H23" s="7"/>
      <c r="I23" s="7"/>
      <c r="J23" s="7"/>
      <c r="K23" s="7"/>
      <c r="L23" s="17"/>
      <c r="M23" s="17"/>
      <c r="N23" s="7"/>
      <c r="O23" s="7"/>
      <c r="P23" s="17"/>
      <c r="Q23" s="17"/>
      <c r="R23" s="7"/>
      <c r="S23" s="7"/>
      <c r="T23" s="7"/>
      <c r="U23" s="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17"/>
      <c r="BB23" s="7"/>
      <c r="BC23" s="7"/>
      <c r="BD23" s="17"/>
      <c r="BE23" s="7"/>
      <c r="BF23" s="7"/>
    </row>
    <row r="24" spans="2:58" x14ac:dyDescent="0.35">
      <c r="B24" s="4"/>
      <c r="C24" s="4" t="s">
        <v>12</v>
      </c>
      <c r="D24" s="5">
        <f t="shared" ref="D24:AQ24" si="30">SUM(D7:D23)</f>
        <v>11</v>
      </c>
      <c r="E24" s="5">
        <f t="shared" si="30"/>
        <v>32230763</v>
      </c>
      <c r="F24" s="10">
        <f t="shared" si="30"/>
        <v>1</v>
      </c>
      <c r="G24" s="10">
        <f t="shared" si="30"/>
        <v>1</v>
      </c>
      <c r="H24" s="5">
        <f t="shared" si="30"/>
        <v>7</v>
      </c>
      <c r="I24" s="5">
        <f t="shared" si="30"/>
        <v>37079520</v>
      </c>
      <c r="J24" s="10">
        <f t="shared" si="30"/>
        <v>1</v>
      </c>
      <c r="K24" s="10">
        <f t="shared" si="30"/>
        <v>1</v>
      </c>
      <c r="L24" s="5">
        <f t="shared" si="30"/>
        <v>7</v>
      </c>
      <c r="M24" s="5">
        <f t="shared" si="30"/>
        <v>31522213</v>
      </c>
      <c r="N24" s="10">
        <f t="shared" si="30"/>
        <v>1</v>
      </c>
      <c r="O24" s="10">
        <f t="shared" si="30"/>
        <v>1</v>
      </c>
      <c r="P24" s="5">
        <f t="shared" si="30"/>
        <v>0</v>
      </c>
      <c r="Q24" s="5">
        <f t="shared" si="30"/>
        <v>0</v>
      </c>
      <c r="R24" s="10" t="e">
        <f t="shared" si="30"/>
        <v>#DIV/0!</v>
      </c>
      <c r="S24" s="10" t="e">
        <f t="shared" si="30"/>
        <v>#DIV/0!</v>
      </c>
      <c r="T24" s="5">
        <f t="shared" si="30"/>
        <v>0</v>
      </c>
      <c r="U24" s="5">
        <f t="shared" si="30"/>
        <v>0</v>
      </c>
      <c r="V24" s="10" t="e">
        <f t="shared" si="30"/>
        <v>#DIV/0!</v>
      </c>
      <c r="W24" s="10" t="e">
        <f t="shared" si="30"/>
        <v>#DIV/0!</v>
      </c>
      <c r="X24" s="5">
        <f t="shared" si="30"/>
        <v>0</v>
      </c>
      <c r="Y24" s="5">
        <f t="shared" si="30"/>
        <v>0</v>
      </c>
      <c r="Z24" s="10" t="e">
        <f t="shared" si="30"/>
        <v>#DIV/0!</v>
      </c>
      <c r="AA24" s="10" t="e">
        <f t="shared" si="30"/>
        <v>#DIV/0!</v>
      </c>
      <c r="AB24" s="5">
        <f t="shared" si="30"/>
        <v>0</v>
      </c>
      <c r="AC24" s="5">
        <f t="shared" si="30"/>
        <v>0</v>
      </c>
      <c r="AD24" s="10" t="e">
        <f t="shared" si="30"/>
        <v>#DIV/0!</v>
      </c>
      <c r="AE24" s="10" t="e">
        <f t="shared" si="30"/>
        <v>#DIV/0!</v>
      </c>
      <c r="AF24" s="5">
        <f t="shared" si="30"/>
        <v>0</v>
      </c>
      <c r="AG24" s="5">
        <f t="shared" si="30"/>
        <v>0</v>
      </c>
      <c r="AH24" s="10" t="e">
        <f t="shared" si="30"/>
        <v>#DIV/0!</v>
      </c>
      <c r="AI24" s="10" t="e">
        <f t="shared" si="30"/>
        <v>#DIV/0!</v>
      </c>
      <c r="AJ24" s="5">
        <f t="shared" si="30"/>
        <v>0</v>
      </c>
      <c r="AK24" s="5">
        <f t="shared" si="30"/>
        <v>0</v>
      </c>
      <c r="AL24" s="10" t="e">
        <f t="shared" si="30"/>
        <v>#DIV/0!</v>
      </c>
      <c r="AM24" s="10" t="e">
        <f t="shared" si="30"/>
        <v>#DIV/0!</v>
      </c>
      <c r="AN24" s="5">
        <f t="shared" si="30"/>
        <v>0</v>
      </c>
      <c r="AO24" s="5">
        <f t="shared" si="30"/>
        <v>0</v>
      </c>
      <c r="AP24" s="10" t="e">
        <f t="shared" si="30"/>
        <v>#DIV/0!</v>
      </c>
      <c r="AQ24" s="10" t="e">
        <f t="shared" si="30"/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>SUM(AW7:AW23)</f>
        <v>0</v>
      </c>
      <c r="AX24" s="10" t="e">
        <f>SUM(AX7:AX23)</f>
        <v>#DIV/0!</v>
      </c>
      <c r="AY24" s="10" t="e">
        <f>SUM(AY7:AY23)</f>
        <v>#DIV/0!</v>
      </c>
      <c r="AZ24" s="5">
        <f>SUM(AZ7:AZ22)</f>
        <v>0</v>
      </c>
      <c r="BA24" s="5">
        <f t="shared" ref="BA24:BF24" si="31">SUM(BA7:BA23)</f>
        <v>0</v>
      </c>
      <c r="BB24" s="10" t="e">
        <f t="shared" si="31"/>
        <v>#DIV/0!</v>
      </c>
      <c r="BC24" s="10" t="e">
        <f t="shared" si="31"/>
        <v>#DIV/0!</v>
      </c>
      <c r="BD24" s="5">
        <f t="shared" si="31"/>
        <v>100832496</v>
      </c>
      <c r="BE24" s="10" t="e">
        <f t="shared" si="31"/>
        <v>#DIV/0!</v>
      </c>
      <c r="BF24" s="10" t="e">
        <f t="shared" si="31"/>
        <v>#DIV/0!</v>
      </c>
    </row>
    <row r="25" spans="2:58" x14ac:dyDescent="0.35">
      <c r="E25" s="1">
        <v>6557142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</sheetData>
  <mergeCells count="12">
    <mergeCell ref="AV5:AW5"/>
    <mergeCell ref="D5:G5"/>
    <mergeCell ref="H5:I5"/>
    <mergeCell ref="L5:M5"/>
    <mergeCell ref="P5:Q5"/>
    <mergeCell ref="T5:U5"/>
    <mergeCell ref="X5:Y5"/>
    <mergeCell ref="AB5:AC5"/>
    <mergeCell ref="AF5:AG5"/>
    <mergeCell ref="AJ5:AK5"/>
    <mergeCell ref="AN5:AO5"/>
    <mergeCell ref="AR5:AS5"/>
  </mergeCells>
  <conditionalFormatting sqref="E8:E21">
    <cfRule type="top10" dxfId="223" priority="459" bottom="1" rank="1"/>
    <cfRule type="top10" dxfId="222" priority="460" rank="1"/>
  </conditionalFormatting>
  <conditionalFormatting sqref="E22:E23 E7">
    <cfRule type="top10" dxfId="221" priority="85" bottom="1" rank="1"/>
    <cfRule type="top10" dxfId="220" priority="86" rank="1"/>
  </conditionalFormatting>
  <conditionalFormatting sqref="I7">
    <cfRule type="top10" dxfId="219" priority="83" bottom="1" rank="1"/>
    <cfRule type="top10" dxfId="218" priority="84" rank="1"/>
  </conditionalFormatting>
  <conditionalFormatting sqref="I8:I23">
    <cfRule type="top10" dxfId="217" priority="464" rank="1"/>
    <cfRule type="top10" dxfId="216" priority="463" bottom="1" rank="1"/>
  </conditionalFormatting>
  <conditionalFormatting sqref="M7:M22">
    <cfRule type="top10" dxfId="215" priority="468" rank="1"/>
    <cfRule type="top10" dxfId="214" priority="467" bottom="1" rank="1"/>
  </conditionalFormatting>
  <conditionalFormatting sqref="M23">
    <cfRule type="top10" dxfId="213" priority="82" rank="1"/>
    <cfRule type="top10" dxfId="212" priority="81" bottom="1" rank="1"/>
  </conditionalFormatting>
  <conditionalFormatting sqref="Q7:Q9 Q11:Q22">
    <cfRule type="top10" dxfId="211" priority="472" rank="1"/>
    <cfRule type="top10" dxfId="210" priority="471" bottom="1" rank="1"/>
  </conditionalFormatting>
  <conditionalFormatting sqref="Q10">
    <cfRule type="top10" dxfId="209" priority="3" bottom="1" rank="1"/>
    <cfRule type="top10" dxfId="208" priority="4" rank="1"/>
  </conditionalFormatting>
  <conditionalFormatting sqref="Q23">
    <cfRule type="top10" dxfId="207" priority="79" bottom="1" rank="1"/>
    <cfRule type="top10" dxfId="206" priority="80" rank="1"/>
  </conditionalFormatting>
  <conditionalFormatting sqref="U7:U9 U11:U23">
    <cfRule type="top10" dxfId="205" priority="478" rank="1"/>
    <cfRule type="top10" dxfId="204" priority="477" bottom="1" rank="1"/>
  </conditionalFormatting>
  <conditionalFormatting sqref="U10">
    <cfRule type="top10" dxfId="203" priority="1" bottom="1" rank="1"/>
    <cfRule type="top10" dxfId="202" priority="2" rank="1"/>
  </conditionalFormatting>
  <conditionalFormatting sqref="Y7:Y12 Y14:Y23">
    <cfRule type="top10" dxfId="201" priority="484" rank="1"/>
    <cfRule type="top10" dxfId="200" priority="483" bottom="1" rank="1"/>
  </conditionalFormatting>
  <conditionalFormatting sqref="Y13">
    <cfRule type="top10" dxfId="199" priority="49" bottom="1" rank="1"/>
    <cfRule type="top10" dxfId="198" priority="50" rank="1"/>
  </conditionalFormatting>
  <conditionalFormatting sqref="AC7:AC12 AC14:AC23">
    <cfRule type="top10" dxfId="197" priority="487" bottom="1" rank="1"/>
    <cfRule type="top10" dxfId="196" priority="488" rank="1"/>
  </conditionalFormatting>
  <conditionalFormatting sqref="AC13">
    <cfRule type="top10" dxfId="195" priority="48" rank="1"/>
    <cfRule type="top10" dxfId="194" priority="47" bottom="1" rank="1"/>
  </conditionalFormatting>
  <conditionalFormatting sqref="AG7:AG12 AG14:AG23">
    <cfRule type="top10" dxfId="193" priority="491" bottom="1" rank="1"/>
    <cfRule type="top10" dxfId="192" priority="492" rank="1"/>
  </conditionalFormatting>
  <conditionalFormatting sqref="AG13">
    <cfRule type="top10" dxfId="191" priority="46" rank="1"/>
    <cfRule type="top10" dxfId="190" priority="45" bottom="1" rank="1"/>
  </conditionalFormatting>
  <conditionalFormatting sqref="AK8:AK22">
    <cfRule type="top10" dxfId="189" priority="497" bottom="1" rank="1"/>
    <cfRule type="top10" dxfId="188" priority="498" rank="1"/>
  </conditionalFormatting>
  <conditionalFormatting sqref="AK23 AK7">
    <cfRule type="top10" dxfId="187" priority="72" rank="1"/>
    <cfRule type="top10" dxfId="186" priority="71" bottom="1" rank="1"/>
  </conditionalFormatting>
  <conditionalFormatting sqref="AO8:AO22">
    <cfRule type="top10" dxfId="185" priority="503" bottom="1" rank="1"/>
    <cfRule type="top10" dxfId="184" priority="504" rank="1"/>
  </conditionalFormatting>
  <conditionalFormatting sqref="AO23 AO7">
    <cfRule type="top10" dxfId="183" priority="70" rank="1"/>
    <cfRule type="top10" dxfId="182" priority="69" bottom="1" rank="1"/>
  </conditionalFormatting>
  <conditionalFormatting sqref="AS9:AS22">
    <cfRule type="top10" dxfId="181" priority="509" bottom="1" rank="1"/>
    <cfRule type="top10" dxfId="180" priority="510" rank="1"/>
  </conditionalFormatting>
  <conditionalFormatting sqref="AS23 AS7:AS8">
    <cfRule type="top10" dxfId="179" priority="68" rank="1"/>
    <cfRule type="top10" dxfId="178" priority="67" bottom="1" rank="1"/>
  </conditionalFormatting>
  <conditionalFormatting sqref="AW9:AW22">
    <cfRule type="top10" dxfId="177" priority="515" bottom="1" rank="1"/>
    <cfRule type="top10" dxfId="176" priority="516" rank="1"/>
  </conditionalFormatting>
  <conditionalFormatting sqref="AW23 AW7:AW8">
    <cfRule type="top10" dxfId="175" priority="66" rank="1"/>
    <cfRule type="top10" dxfId="174" priority="65" bottom="1" rank="1"/>
  </conditionalFormatting>
  <conditionalFormatting sqref="BA7:BA23">
    <cfRule type="top10" dxfId="173" priority="519" bottom="1" rank="1"/>
    <cfRule type="top10" dxfId="172" priority="520" rank="1"/>
  </conditionalFormatting>
  <conditionalFormatting sqref="BD7:BD23">
    <cfRule type="top10" dxfId="171" priority="523" bottom="1" rank="1"/>
    <cfRule type="top10" dxfId="170" priority="524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92D050"/>
  </sheetPr>
  <dimension ref="B1:BF25"/>
  <sheetViews>
    <sheetView zoomScale="85" zoomScaleNormal="85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M16" sqref="M16:M17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style="35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style="35" bestFit="1" customWidth="1"/>
    <col min="9" max="9" width="14" customWidth="1"/>
    <col min="10" max="10" width="8.453125" bestFit="1" customWidth="1"/>
    <col min="11" max="11" width="12.26953125" bestFit="1" customWidth="1"/>
    <col min="12" max="12" width="7.453125" style="35" bestFit="1" customWidth="1"/>
    <col min="13" max="13" width="15.1796875" customWidth="1"/>
    <col min="14" max="14" width="12.26953125" bestFit="1" customWidth="1"/>
    <col min="15" max="15" width="8.7265625" bestFit="1" customWidth="1"/>
    <col min="16" max="16" width="7.453125" style="35" bestFit="1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7.453125" style="35" bestFit="1" customWidth="1"/>
    <col min="21" max="21" width="17.54296875" bestFit="1" customWidth="1"/>
    <col min="22" max="22" width="8.1796875" bestFit="1" customWidth="1"/>
    <col min="23" max="23" width="8.7265625" bestFit="1" customWidth="1"/>
    <col min="24" max="24" width="6.26953125" customWidth="1"/>
    <col min="25" max="25" width="15.26953125" bestFit="1" customWidth="1"/>
    <col min="26" max="26" width="13.453125" bestFit="1" customWidth="1"/>
    <col min="27" max="27" width="8.453125" bestFit="1" customWidth="1"/>
    <col min="28" max="28" width="6.26953125" customWidth="1"/>
    <col min="29" max="29" width="14.816406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5.26953125" bestFit="1" customWidth="1"/>
    <col min="38" max="39" width="8.1796875" customWidth="1"/>
    <col min="40" max="40" width="6.26953125" customWidth="1"/>
    <col min="41" max="41" width="16.81640625" bestFit="1" customWidth="1"/>
    <col min="42" max="43" width="8.1796875" customWidth="1"/>
    <col min="44" max="44" width="6.26953125" customWidth="1"/>
    <col min="45" max="45" width="15.81640625" bestFit="1" customWidth="1"/>
    <col min="46" max="47" width="8.1796875" customWidth="1"/>
    <col min="48" max="48" width="6.26953125" customWidth="1"/>
    <col min="49" max="49" width="16.453125" customWidth="1"/>
    <col min="50" max="51" width="8.1796875" customWidth="1"/>
    <col min="52" max="52" width="6.26953125" customWidth="1"/>
    <col min="53" max="53" width="15.81640625" bestFit="1" customWidth="1"/>
    <col min="54" max="54" width="8.1796875" customWidth="1"/>
    <col min="55" max="55" width="11.453125" customWidth="1"/>
    <col min="56" max="56" width="15.81640625" bestFit="1" customWidth="1"/>
    <col min="57" max="57" width="8.1796875" customWidth="1"/>
    <col min="58" max="58" width="8.26953125" customWidth="1"/>
  </cols>
  <sheetData>
    <row r="1" spans="2:58" x14ac:dyDescent="0.35">
      <c r="B1" t="s">
        <v>13</v>
      </c>
      <c r="BA1" s="8"/>
      <c r="BD1" s="8"/>
    </row>
    <row r="2" spans="2:58" x14ac:dyDescent="0.35">
      <c r="B2" t="s">
        <v>45</v>
      </c>
      <c r="BA2" s="8"/>
      <c r="BD2" s="8"/>
    </row>
    <row r="3" spans="2:58" x14ac:dyDescent="0.35">
      <c r="B3" t="s">
        <v>79</v>
      </c>
    </row>
    <row r="4" spans="2:58" s="6" customFormat="1" x14ac:dyDescent="0.35">
      <c r="D4" s="36"/>
      <c r="H4" s="36"/>
      <c r="L4" s="36"/>
      <c r="P4" s="36"/>
      <c r="T4" s="36"/>
      <c r="X4" s="9"/>
      <c r="AB4" s="9"/>
      <c r="AF4" s="9"/>
      <c r="AJ4" s="9"/>
      <c r="AN4" s="9"/>
      <c r="AR4" s="9"/>
      <c r="AV4" s="9"/>
      <c r="AZ4" s="9"/>
    </row>
    <row r="5" spans="2:58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8" s="14" customFormat="1" ht="29" x14ac:dyDescent="0.35">
      <c r="B6" s="12"/>
      <c r="C6" s="26" t="s">
        <v>46</v>
      </c>
      <c r="D6" s="37" t="s">
        <v>14</v>
      </c>
      <c r="E6" s="13" t="s">
        <v>15</v>
      </c>
      <c r="F6" s="13" t="s">
        <v>27</v>
      </c>
      <c r="G6" s="13" t="s">
        <v>28</v>
      </c>
      <c r="H6" s="37" t="s">
        <v>14</v>
      </c>
      <c r="I6" s="13" t="s">
        <v>15</v>
      </c>
      <c r="J6" s="13" t="s">
        <v>27</v>
      </c>
      <c r="K6" s="13" t="s">
        <v>28</v>
      </c>
      <c r="L6" s="37" t="s">
        <v>14</v>
      </c>
      <c r="M6" s="13" t="s">
        <v>15</v>
      </c>
      <c r="N6" s="13" t="s">
        <v>27</v>
      </c>
      <c r="O6" s="13" t="s">
        <v>28</v>
      </c>
      <c r="P6" s="37" t="s">
        <v>14</v>
      </c>
      <c r="Q6" s="13" t="s">
        <v>15</v>
      </c>
      <c r="R6" s="13" t="s">
        <v>27</v>
      </c>
      <c r="S6" s="13" t="s">
        <v>28</v>
      </c>
      <c r="T6" s="37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14</v>
      </c>
      <c r="BA6" s="13" t="s">
        <v>15</v>
      </c>
      <c r="BB6" s="13" t="s">
        <v>27</v>
      </c>
      <c r="BC6" s="13" t="s">
        <v>28</v>
      </c>
      <c r="BD6" s="13" t="s">
        <v>32</v>
      </c>
      <c r="BE6" s="13" t="s">
        <v>27</v>
      </c>
      <c r="BF6" s="13" t="s">
        <v>28</v>
      </c>
    </row>
    <row r="7" spans="2:58" s="6" customFormat="1" x14ac:dyDescent="0.35">
      <c r="B7" s="23">
        <v>1</v>
      </c>
      <c r="C7" s="3" t="s">
        <v>31</v>
      </c>
      <c r="D7" s="38"/>
      <c r="E7" s="7"/>
      <c r="F7" s="11">
        <f t="shared" ref="F7:F22" si="0">D7/$D$24</f>
        <v>0</v>
      </c>
      <c r="G7" s="11">
        <f t="shared" ref="G7:G22" si="1">E7/$E$24</f>
        <v>0</v>
      </c>
      <c r="H7" s="41"/>
      <c r="I7" s="24"/>
      <c r="J7" s="11">
        <f t="shared" ref="J7:J22" si="2">H7/$H$24</f>
        <v>0</v>
      </c>
      <c r="K7" s="11">
        <f t="shared" ref="K7:K22" si="3">I7/$I$24</f>
        <v>0</v>
      </c>
      <c r="L7" s="41"/>
      <c r="M7" s="24"/>
      <c r="N7" s="11">
        <f t="shared" ref="N7:N22" si="4">L7/$L$24</f>
        <v>0</v>
      </c>
      <c r="O7" s="11">
        <f t="shared" ref="O7:O22" si="5">M7/$M$24</f>
        <v>0</v>
      </c>
      <c r="P7" s="45"/>
      <c r="Q7" s="19"/>
      <c r="R7" s="11" t="e">
        <f t="shared" ref="R7:R22" si="6">P7/$P$24</f>
        <v>#DIV/0!</v>
      </c>
      <c r="S7" s="11" t="e">
        <f t="shared" ref="S7:S22" si="7">Q7/$Q$24</f>
        <v>#DIV/0!</v>
      </c>
      <c r="T7" s="45"/>
      <c r="U7" s="19"/>
      <c r="V7" s="11" t="e">
        <f t="shared" ref="V7:V22" si="8">T7/$P$24</f>
        <v>#DIV/0!</v>
      </c>
      <c r="W7" s="11" t="e">
        <f t="shared" ref="W7:W22" si="9">U7/$Q$24</f>
        <v>#DIV/0!</v>
      </c>
      <c r="X7" s="24">
        <v>0</v>
      </c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4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4"/>
      <c r="AL7" s="11" t="e">
        <f t="shared" ref="AL7:AL22" si="16">AJ7/$AJ$24</f>
        <v>#DIV/0!</v>
      </c>
      <c r="AM7" s="11" t="e">
        <f t="shared" ref="AM7:AM22" si="17">AK7/$AK$24</f>
        <v>#DIV/0!</v>
      </c>
      <c r="AN7" s="25"/>
      <c r="AO7" s="25"/>
      <c r="AP7" s="11" t="e">
        <f t="shared" ref="AP7:AP22" si="18">AN7/$AN$24</f>
        <v>#DIV/0!</v>
      </c>
      <c r="AQ7" s="11" t="e">
        <f t="shared" ref="AQ7:AQ22" si="19">AO7/$AO$24</f>
        <v>#DIV/0!</v>
      </c>
      <c r="AR7" s="24"/>
      <c r="AS7" s="24"/>
      <c r="AT7" s="11" t="e">
        <f t="shared" ref="AT7:AT22" si="20">AR7/$AN$24</f>
        <v>#DIV/0!</v>
      </c>
      <c r="AU7" s="11" t="e">
        <f t="shared" ref="AU7:AU22" si="21">AS7/$AO$24</f>
        <v>#DIV/0!</v>
      </c>
      <c r="AV7" s="24"/>
      <c r="AW7" s="25"/>
      <c r="AX7" s="11" t="e">
        <f t="shared" ref="AX7:AX22" si="22">AV7/$AN$24</f>
        <v>#DIV/0!</v>
      </c>
      <c r="AY7" s="11" t="e">
        <f t="shared" ref="AY7:AY22" si="23">AW7/$AO$24</f>
        <v>#DIV/0!</v>
      </c>
      <c r="AZ7" s="24"/>
      <c r="BA7" s="24"/>
      <c r="BB7" s="11" t="e">
        <f t="shared" ref="BB7:BB22" si="24">AZ7/$AN$24</f>
        <v>#DIV/0!</v>
      </c>
      <c r="BC7" s="11" t="e">
        <f t="shared" ref="BC7:BC22" si="25">BA7/$AO$24</f>
        <v>#DIV/0!</v>
      </c>
      <c r="BD7" s="19">
        <f t="shared" ref="BD7:BD22" si="26">E7+I7+M7+Q7+Y7+AC7+AG7+AK7+AO7+AS7+AW7+BA7</f>
        <v>0</v>
      </c>
      <c r="BE7" s="11" t="e">
        <f t="shared" ref="BE7:BE22" si="27">AVERAGE(F7,J7,N7,R7,Z7,AD7,AH7,AL7,AP7,AT7,AX7,BB7)</f>
        <v>#DIV/0!</v>
      </c>
      <c r="BF7" s="11" t="e">
        <f t="shared" ref="BF7:BF22" si="28">AVERAGE(G7,K7,O7,S7,AA7,AE7,AI7,AM7,AQ7,AU7,AY7,BC7)</f>
        <v>#DIV/0!</v>
      </c>
    </row>
    <row r="8" spans="2:58" x14ac:dyDescent="0.35">
      <c r="B8" s="3">
        <f>B7+1</f>
        <v>2</v>
      </c>
      <c r="C8" s="3" t="s">
        <v>17</v>
      </c>
      <c r="D8" s="38"/>
      <c r="E8" s="7"/>
      <c r="F8" s="11">
        <f t="shared" si="0"/>
        <v>0</v>
      </c>
      <c r="G8" s="11">
        <f t="shared" si="1"/>
        <v>0</v>
      </c>
      <c r="H8" s="42"/>
      <c r="I8" s="7"/>
      <c r="J8" s="11">
        <f t="shared" si="2"/>
        <v>0</v>
      </c>
      <c r="K8" s="11">
        <f t="shared" si="3"/>
        <v>0</v>
      </c>
      <c r="L8" s="42"/>
      <c r="M8" s="7"/>
      <c r="N8" s="11">
        <f t="shared" si="4"/>
        <v>0</v>
      </c>
      <c r="O8" s="11">
        <f t="shared" si="5"/>
        <v>0</v>
      </c>
      <c r="P8" s="42"/>
      <c r="Q8" s="7"/>
      <c r="R8" s="11" t="e">
        <f t="shared" si="6"/>
        <v>#DIV/0!</v>
      </c>
      <c r="S8" s="11" t="e">
        <f t="shared" si="7"/>
        <v>#DIV/0!</v>
      </c>
      <c r="T8" s="42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20"/>
      <c r="AC8" s="7"/>
      <c r="AD8" s="11" t="e">
        <f t="shared" si="12"/>
        <v>#DIV/0!</v>
      </c>
      <c r="AE8" s="11" t="e">
        <f t="shared" si="13"/>
        <v>#DIV/0!</v>
      </c>
      <c r="AF8" s="7"/>
      <c r="AG8" s="20"/>
      <c r="AH8" s="11" t="e">
        <f t="shared" si="14"/>
        <v>#DIV/0!</v>
      </c>
      <c r="AI8" s="11" t="e">
        <f t="shared" si="15"/>
        <v>#DIV/0!</v>
      </c>
      <c r="AJ8" s="7"/>
      <c r="AK8" s="7"/>
      <c r="AL8" s="11" t="e">
        <f t="shared" si="16"/>
        <v>#DIV/0!</v>
      </c>
      <c r="AM8" s="11" t="e">
        <f t="shared" si="17"/>
        <v>#DIV/0!</v>
      </c>
      <c r="AN8" s="7"/>
      <c r="AO8" s="7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7"/>
      <c r="AW8" s="7"/>
      <c r="AX8" s="11" t="e">
        <f t="shared" si="22"/>
        <v>#DIV/0!</v>
      </c>
      <c r="AY8" s="11" t="e">
        <f t="shared" si="23"/>
        <v>#DIV/0!</v>
      </c>
      <c r="AZ8" s="20"/>
      <c r="BA8" s="20"/>
      <c r="BB8" s="11" t="e">
        <f t="shared" si="24"/>
        <v>#DIV/0!</v>
      </c>
      <c r="BC8" s="11" t="e">
        <f t="shared" si="25"/>
        <v>#DIV/0!</v>
      </c>
      <c r="BD8" s="19">
        <f t="shared" si="26"/>
        <v>0</v>
      </c>
      <c r="BE8" s="11" t="e">
        <f t="shared" si="27"/>
        <v>#DIV/0!</v>
      </c>
      <c r="BF8" s="11" t="e">
        <f t="shared" si="28"/>
        <v>#DIV/0!</v>
      </c>
    </row>
    <row r="9" spans="2:58" x14ac:dyDescent="0.35">
      <c r="B9" s="3">
        <f t="shared" ref="B9:B12" si="29">B8+1</f>
        <v>3</v>
      </c>
      <c r="C9" s="3" t="s">
        <v>18</v>
      </c>
      <c r="D9" s="38"/>
      <c r="E9" s="7"/>
      <c r="F9" s="11">
        <f t="shared" si="0"/>
        <v>0</v>
      </c>
      <c r="G9" s="11">
        <f t="shared" si="1"/>
        <v>0</v>
      </c>
      <c r="H9" s="42"/>
      <c r="I9" s="7"/>
      <c r="J9" s="11">
        <f t="shared" si="2"/>
        <v>0</v>
      </c>
      <c r="K9" s="11">
        <f t="shared" si="3"/>
        <v>0</v>
      </c>
      <c r="L9" s="42"/>
      <c r="M9" s="7"/>
      <c r="N9" s="11">
        <f t="shared" si="4"/>
        <v>0</v>
      </c>
      <c r="O9" s="11">
        <f t="shared" si="5"/>
        <v>0</v>
      </c>
      <c r="P9" s="42"/>
      <c r="Q9" s="7"/>
      <c r="R9" s="11" t="e">
        <f t="shared" si="6"/>
        <v>#DIV/0!</v>
      </c>
      <c r="S9" s="11" t="e">
        <f t="shared" si="7"/>
        <v>#DIV/0!</v>
      </c>
      <c r="T9" s="42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7"/>
      <c r="AG9" s="20"/>
      <c r="AH9" s="11" t="e">
        <f t="shared" si="14"/>
        <v>#DIV/0!</v>
      </c>
      <c r="AI9" s="11" t="e">
        <f t="shared" si="15"/>
        <v>#DIV/0!</v>
      </c>
      <c r="AJ9" s="20"/>
      <c r="AK9" s="20"/>
      <c r="AL9" s="11" t="e">
        <f t="shared" si="16"/>
        <v>#DIV/0!</v>
      </c>
      <c r="AM9" s="11" t="e">
        <f t="shared" si="17"/>
        <v>#DIV/0!</v>
      </c>
      <c r="AN9" s="7"/>
      <c r="AO9" s="7"/>
      <c r="AP9" s="11" t="e">
        <f t="shared" si="18"/>
        <v>#DIV/0!</v>
      </c>
      <c r="AQ9" s="11" t="e">
        <f t="shared" si="19"/>
        <v>#DIV/0!</v>
      </c>
      <c r="AR9" s="20">
        <v>0</v>
      </c>
      <c r="AS9" s="7">
        <v>0</v>
      </c>
      <c r="AT9" s="11" t="e">
        <f t="shared" si="20"/>
        <v>#DIV/0!</v>
      </c>
      <c r="AU9" s="11" t="e">
        <f t="shared" si="21"/>
        <v>#DIV/0!</v>
      </c>
      <c r="AV9" s="7">
        <v>0</v>
      </c>
      <c r="AW9" s="7">
        <v>0</v>
      </c>
      <c r="AX9" s="11" t="e">
        <f t="shared" si="22"/>
        <v>#DIV/0!</v>
      </c>
      <c r="AY9" s="11" t="e">
        <f t="shared" si="23"/>
        <v>#DIV/0!</v>
      </c>
      <c r="AZ9" s="20"/>
      <c r="BA9" s="20"/>
      <c r="BB9" s="11" t="e">
        <f t="shared" si="24"/>
        <v>#DIV/0!</v>
      </c>
      <c r="BC9" s="11" t="e">
        <f t="shared" si="25"/>
        <v>#DIV/0!</v>
      </c>
      <c r="BD9" s="19">
        <f t="shared" si="26"/>
        <v>0</v>
      </c>
      <c r="BE9" s="11" t="e">
        <f t="shared" si="27"/>
        <v>#DIV/0!</v>
      </c>
      <c r="BF9" s="11" t="e">
        <f t="shared" si="28"/>
        <v>#DIV/0!</v>
      </c>
    </row>
    <row r="10" spans="2:58" x14ac:dyDescent="0.35">
      <c r="B10" s="3">
        <f t="shared" si="29"/>
        <v>4</v>
      </c>
      <c r="C10" s="3" t="s">
        <v>19</v>
      </c>
      <c r="D10" s="38"/>
      <c r="E10" s="7"/>
      <c r="F10" s="11">
        <f t="shared" si="0"/>
        <v>0</v>
      </c>
      <c r="G10" s="11">
        <f t="shared" si="1"/>
        <v>0</v>
      </c>
      <c r="H10" s="38"/>
      <c r="I10" s="7"/>
      <c r="J10" s="11">
        <f t="shared" si="2"/>
        <v>0</v>
      </c>
      <c r="K10" s="11">
        <f t="shared" si="3"/>
        <v>0</v>
      </c>
      <c r="L10" s="38"/>
      <c r="M10" s="7"/>
      <c r="N10" s="11">
        <f t="shared" si="4"/>
        <v>0</v>
      </c>
      <c r="O10" s="11">
        <f t="shared" si="5"/>
        <v>0</v>
      </c>
      <c r="P10" s="38"/>
      <c r="Q10" s="7"/>
      <c r="R10" s="11" t="e">
        <f t="shared" si="6"/>
        <v>#DIV/0!</v>
      </c>
      <c r="S10" s="11" t="e">
        <f t="shared" si="7"/>
        <v>#DIV/0!</v>
      </c>
      <c r="T10" s="38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7"/>
      <c r="AG10" s="7"/>
      <c r="AH10" s="11" t="e">
        <f t="shared" si="14"/>
        <v>#DIV/0!</v>
      </c>
      <c r="AI10" s="11" t="e">
        <f t="shared" si="15"/>
        <v>#DIV/0!</v>
      </c>
      <c r="AJ10" s="20"/>
      <c r="AK10" s="20"/>
      <c r="AL10" s="11" t="e">
        <f t="shared" si="16"/>
        <v>#DIV/0!</v>
      </c>
      <c r="AM10" s="11" t="e">
        <f t="shared" si="17"/>
        <v>#DIV/0!</v>
      </c>
      <c r="AN10" s="7"/>
      <c r="AO10" s="7"/>
      <c r="AP10" s="11" t="e">
        <f t="shared" si="18"/>
        <v>#DIV/0!</v>
      </c>
      <c r="AQ10" s="11" t="e">
        <f t="shared" si="19"/>
        <v>#DIV/0!</v>
      </c>
      <c r="AR10" s="7"/>
      <c r="AS10" s="7"/>
      <c r="AT10" s="11" t="e">
        <f t="shared" si="20"/>
        <v>#DIV/0!</v>
      </c>
      <c r="AU10" s="11" t="e">
        <f t="shared" si="21"/>
        <v>#DIV/0!</v>
      </c>
      <c r="AV10" s="7"/>
      <c r="AW10" s="7"/>
      <c r="AX10" s="11" t="e">
        <f t="shared" si="22"/>
        <v>#DIV/0!</v>
      </c>
      <c r="AY10" s="11" t="e">
        <f t="shared" si="23"/>
        <v>#DIV/0!</v>
      </c>
      <c r="AZ10" s="20"/>
      <c r="BA10" s="20"/>
      <c r="BB10" s="11" t="e">
        <f t="shared" si="24"/>
        <v>#DIV/0!</v>
      </c>
      <c r="BC10" s="11" t="e">
        <f t="shared" si="25"/>
        <v>#DIV/0!</v>
      </c>
      <c r="BD10" s="19">
        <f t="shared" si="26"/>
        <v>0</v>
      </c>
      <c r="BE10" s="11" t="e">
        <f t="shared" si="27"/>
        <v>#DIV/0!</v>
      </c>
      <c r="BF10" s="11" t="e">
        <f t="shared" si="28"/>
        <v>#DIV/0!</v>
      </c>
    </row>
    <row r="11" spans="2:58" x14ac:dyDescent="0.35">
      <c r="B11" s="3">
        <f t="shared" si="29"/>
        <v>5</v>
      </c>
      <c r="C11" s="3" t="s">
        <v>20</v>
      </c>
      <c r="D11" s="38"/>
      <c r="E11" s="7"/>
      <c r="F11" s="11">
        <f t="shared" si="0"/>
        <v>0</v>
      </c>
      <c r="G11" s="11">
        <f t="shared" si="1"/>
        <v>0</v>
      </c>
      <c r="H11" s="38"/>
      <c r="I11" s="7"/>
      <c r="J11" s="11">
        <f t="shared" si="2"/>
        <v>0</v>
      </c>
      <c r="K11" s="11">
        <f t="shared" si="3"/>
        <v>0</v>
      </c>
      <c r="L11" s="38"/>
      <c r="M11" s="7"/>
      <c r="N11" s="11">
        <f t="shared" si="4"/>
        <v>0</v>
      </c>
      <c r="O11" s="11">
        <f t="shared" si="5"/>
        <v>0</v>
      </c>
      <c r="P11" s="38"/>
      <c r="Q11" s="7"/>
      <c r="R11" s="11" t="e">
        <f t="shared" si="6"/>
        <v>#DIV/0!</v>
      </c>
      <c r="S11" s="11" t="e">
        <f t="shared" si="7"/>
        <v>#DIV/0!</v>
      </c>
      <c r="T11" s="38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20"/>
      <c r="AK11" s="20"/>
      <c r="AL11" s="11" t="e">
        <f t="shared" si="16"/>
        <v>#DIV/0!</v>
      </c>
      <c r="AM11" s="11" t="e">
        <f t="shared" si="17"/>
        <v>#DIV/0!</v>
      </c>
      <c r="AN11" s="7"/>
      <c r="AO11" s="7"/>
      <c r="AP11" s="11" t="e">
        <f t="shared" si="18"/>
        <v>#DIV/0!</v>
      </c>
      <c r="AQ11" s="11" t="e">
        <f t="shared" si="19"/>
        <v>#DIV/0!</v>
      </c>
      <c r="AR11" s="7"/>
      <c r="AS11" s="7"/>
      <c r="AT11" s="11" t="e">
        <f t="shared" si="20"/>
        <v>#DIV/0!</v>
      </c>
      <c r="AU11" s="11" t="e">
        <f t="shared" si="21"/>
        <v>#DIV/0!</v>
      </c>
      <c r="AV11" s="7">
        <v>0</v>
      </c>
      <c r="AW11" s="7">
        <v>0</v>
      </c>
      <c r="AX11" s="11" t="e">
        <f t="shared" si="22"/>
        <v>#DIV/0!</v>
      </c>
      <c r="AY11" s="11" t="e">
        <f t="shared" si="23"/>
        <v>#DIV/0!</v>
      </c>
      <c r="AZ11" s="20"/>
      <c r="BA11" s="20"/>
      <c r="BB11" s="11" t="e">
        <f t="shared" si="24"/>
        <v>#DIV/0!</v>
      </c>
      <c r="BC11" s="11" t="e">
        <f t="shared" si="25"/>
        <v>#DIV/0!</v>
      </c>
      <c r="BD11" s="19">
        <f t="shared" si="26"/>
        <v>0</v>
      </c>
      <c r="BE11" s="11" t="e">
        <f t="shared" si="27"/>
        <v>#DIV/0!</v>
      </c>
      <c r="BF11" s="11" t="e">
        <f t="shared" si="28"/>
        <v>#DIV/0!</v>
      </c>
    </row>
    <row r="12" spans="2:58" x14ac:dyDescent="0.35">
      <c r="B12" s="3">
        <f t="shared" si="29"/>
        <v>6</v>
      </c>
      <c r="C12" s="3" t="s">
        <v>64</v>
      </c>
      <c r="D12" s="38">
        <v>2</v>
      </c>
      <c r="E12" s="7">
        <v>7597106</v>
      </c>
      <c r="F12" s="11">
        <f t="shared" si="0"/>
        <v>7.1428571428571425E-2</v>
      </c>
      <c r="G12" s="11">
        <f t="shared" si="1"/>
        <v>7.0706944920346945E-2</v>
      </c>
      <c r="H12" s="38">
        <v>2</v>
      </c>
      <c r="I12" s="7">
        <v>8209963</v>
      </c>
      <c r="J12" s="11">
        <f t="shared" si="2"/>
        <v>8.3333333333333329E-2</v>
      </c>
      <c r="K12" s="11">
        <f t="shared" si="3"/>
        <v>7.311031795606851E-2</v>
      </c>
      <c r="L12" s="38">
        <v>2</v>
      </c>
      <c r="M12" s="7">
        <v>7597106</v>
      </c>
      <c r="N12" s="11">
        <f t="shared" si="4"/>
        <v>8.3333333333333329E-2</v>
      </c>
      <c r="O12" s="11">
        <f t="shared" si="5"/>
        <v>7.4930657560754413E-2</v>
      </c>
      <c r="P12" s="38"/>
      <c r="Q12" s="16"/>
      <c r="R12" s="11" t="e">
        <f t="shared" si="6"/>
        <v>#DIV/0!</v>
      </c>
      <c r="S12" s="11" t="e">
        <f t="shared" si="7"/>
        <v>#DIV/0!</v>
      </c>
      <c r="T12" s="38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7"/>
      <c r="AG12" s="7"/>
      <c r="AH12" s="11" t="e">
        <f t="shared" si="14"/>
        <v>#DIV/0!</v>
      </c>
      <c r="AI12" s="11" t="e">
        <f t="shared" si="15"/>
        <v>#DIV/0!</v>
      </c>
      <c r="AJ12" s="20"/>
      <c r="AK12" s="20"/>
      <c r="AL12" s="11" t="e">
        <f t="shared" si="16"/>
        <v>#DIV/0!</v>
      </c>
      <c r="AM12" s="11" t="e">
        <f t="shared" si="17"/>
        <v>#DIV/0!</v>
      </c>
      <c r="AN12" s="7"/>
      <c r="AO12" s="7"/>
      <c r="AP12" s="11" t="e">
        <f t="shared" si="18"/>
        <v>#DIV/0!</v>
      </c>
      <c r="AQ12" s="11" t="e">
        <f t="shared" si="19"/>
        <v>#DIV/0!</v>
      </c>
      <c r="AR12" s="7"/>
      <c r="AS12" s="7"/>
      <c r="AT12" s="11" t="e">
        <f t="shared" si="20"/>
        <v>#DIV/0!</v>
      </c>
      <c r="AU12" s="11" t="e">
        <f t="shared" si="21"/>
        <v>#DIV/0!</v>
      </c>
      <c r="AV12" s="7"/>
      <c r="AW12" s="7"/>
      <c r="AX12" s="11" t="e">
        <f t="shared" si="22"/>
        <v>#DIV/0!</v>
      </c>
      <c r="AY12" s="11" t="e">
        <f t="shared" si="23"/>
        <v>#DIV/0!</v>
      </c>
      <c r="AZ12" s="20"/>
      <c r="BA12" s="20"/>
      <c r="BB12" s="11" t="e">
        <f t="shared" si="24"/>
        <v>#DIV/0!</v>
      </c>
      <c r="BC12" s="11" t="e">
        <f t="shared" si="25"/>
        <v>#DIV/0!</v>
      </c>
      <c r="BD12" s="19">
        <f t="shared" si="26"/>
        <v>23404175</v>
      </c>
      <c r="BE12" s="11" t="e">
        <f t="shared" si="27"/>
        <v>#DIV/0!</v>
      </c>
      <c r="BF12" s="11" t="e">
        <f t="shared" si="28"/>
        <v>#DIV/0!</v>
      </c>
    </row>
    <row r="13" spans="2:58" x14ac:dyDescent="0.35">
      <c r="B13" s="3">
        <f>B12+1</f>
        <v>7</v>
      </c>
      <c r="C13" s="3" t="s">
        <v>39</v>
      </c>
      <c r="D13" s="38"/>
      <c r="E13" s="7"/>
      <c r="F13" s="11">
        <f t="shared" si="0"/>
        <v>0</v>
      </c>
      <c r="G13" s="11">
        <f t="shared" si="1"/>
        <v>0</v>
      </c>
      <c r="H13" s="38"/>
      <c r="I13" s="7"/>
      <c r="J13" s="11">
        <f t="shared" si="2"/>
        <v>0</v>
      </c>
      <c r="K13" s="11">
        <f t="shared" si="3"/>
        <v>0</v>
      </c>
      <c r="L13" s="38"/>
      <c r="M13" s="7"/>
      <c r="N13" s="11">
        <f t="shared" si="4"/>
        <v>0</v>
      </c>
      <c r="O13" s="11">
        <f t="shared" si="5"/>
        <v>0</v>
      </c>
      <c r="P13" s="38"/>
      <c r="Q13" s="7"/>
      <c r="R13" s="11" t="e">
        <f t="shared" si="6"/>
        <v>#DIV/0!</v>
      </c>
      <c r="S13" s="11" t="e">
        <f t="shared" si="7"/>
        <v>#DIV/0!</v>
      </c>
      <c r="T13" s="38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7"/>
      <c r="AG13" s="7"/>
      <c r="AH13" s="11" t="e">
        <f t="shared" si="14"/>
        <v>#DIV/0!</v>
      </c>
      <c r="AI13" s="11" t="e">
        <f t="shared" si="15"/>
        <v>#DIV/0!</v>
      </c>
      <c r="AJ13" s="20"/>
      <c r="AK13" s="20"/>
      <c r="AL13" s="11" t="e">
        <f t="shared" si="16"/>
        <v>#DIV/0!</v>
      </c>
      <c r="AM13" s="11" t="e">
        <f t="shared" si="17"/>
        <v>#DIV/0!</v>
      </c>
      <c r="AN13" s="7"/>
      <c r="AO13" s="7"/>
      <c r="AP13" s="11" t="e">
        <f t="shared" si="18"/>
        <v>#DIV/0!</v>
      </c>
      <c r="AQ13" s="11" t="e">
        <f t="shared" si="19"/>
        <v>#DIV/0!</v>
      </c>
      <c r="AR13" s="7"/>
      <c r="AS13" s="7"/>
      <c r="AT13" s="11" t="e">
        <f t="shared" si="20"/>
        <v>#DIV/0!</v>
      </c>
      <c r="AU13" s="11" t="e">
        <f t="shared" si="21"/>
        <v>#DIV/0!</v>
      </c>
      <c r="AV13" s="7"/>
      <c r="AW13" s="7"/>
      <c r="AX13" s="11" t="e">
        <f t="shared" si="22"/>
        <v>#DIV/0!</v>
      </c>
      <c r="AY13" s="11" t="e">
        <f t="shared" si="23"/>
        <v>#DIV/0!</v>
      </c>
      <c r="AZ13" s="20"/>
      <c r="BA13" s="20"/>
      <c r="BB13" s="11" t="e">
        <f t="shared" si="24"/>
        <v>#DIV/0!</v>
      </c>
      <c r="BC13" s="11" t="e">
        <f t="shared" si="25"/>
        <v>#DIV/0!</v>
      </c>
      <c r="BD13" s="19">
        <f t="shared" si="26"/>
        <v>0</v>
      </c>
      <c r="BE13" s="11" t="e">
        <f t="shared" si="27"/>
        <v>#DIV/0!</v>
      </c>
      <c r="BF13" s="11" t="e">
        <f t="shared" si="28"/>
        <v>#DIV/0!</v>
      </c>
    </row>
    <row r="14" spans="2:58" x14ac:dyDescent="0.35">
      <c r="B14" s="3">
        <f>B13+1</f>
        <v>8</v>
      </c>
      <c r="C14" s="3" t="s">
        <v>21</v>
      </c>
      <c r="D14" s="38">
        <v>1</v>
      </c>
      <c r="E14" s="7">
        <v>4679778</v>
      </c>
      <c r="F14" s="11">
        <f t="shared" si="0"/>
        <v>3.5714285714285712E-2</v>
      </c>
      <c r="G14" s="11">
        <f t="shared" si="1"/>
        <v>4.355511233954764E-2</v>
      </c>
      <c r="H14" s="38">
        <v>1</v>
      </c>
      <c r="I14" s="7">
        <v>5374691</v>
      </c>
      <c r="J14" s="11">
        <f t="shared" si="2"/>
        <v>4.1666666666666664E-2</v>
      </c>
      <c r="K14" s="11">
        <f t="shared" si="3"/>
        <v>4.7862014472613318E-2</v>
      </c>
      <c r="L14" s="38">
        <v>1</v>
      </c>
      <c r="M14" s="7">
        <v>3864980</v>
      </c>
      <c r="N14" s="11">
        <f t="shared" si="4"/>
        <v>4.1666666666666664E-2</v>
      </c>
      <c r="O14" s="11">
        <f t="shared" si="5"/>
        <v>3.8120501788334211E-2</v>
      </c>
      <c r="P14" s="38"/>
      <c r="Q14" s="16"/>
      <c r="R14" s="11" t="e">
        <f t="shared" si="6"/>
        <v>#DIV/0!</v>
      </c>
      <c r="S14" s="11" t="e">
        <f t="shared" si="7"/>
        <v>#DIV/0!</v>
      </c>
      <c r="T14" s="38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7"/>
      <c r="AG14" s="7"/>
      <c r="AH14" s="11" t="e">
        <f t="shared" si="14"/>
        <v>#DIV/0!</v>
      </c>
      <c r="AI14" s="11" t="e">
        <f t="shared" si="15"/>
        <v>#DIV/0!</v>
      </c>
      <c r="AJ14" s="20"/>
      <c r="AK14" s="20"/>
      <c r="AL14" s="11" t="e">
        <f t="shared" si="16"/>
        <v>#DIV/0!</v>
      </c>
      <c r="AM14" s="11" t="e">
        <f t="shared" si="17"/>
        <v>#DIV/0!</v>
      </c>
      <c r="AN14" s="7"/>
      <c r="AO14" s="7"/>
      <c r="AP14" s="11" t="e">
        <f t="shared" si="18"/>
        <v>#DIV/0!</v>
      </c>
      <c r="AQ14" s="11" t="e">
        <f t="shared" si="19"/>
        <v>#DIV/0!</v>
      </c>
      <c r="AR14" s="7"/>
      <c r="AS14" s="7"/>
      <c r="AT14" s="11" t="e">
        <f t="shared" si="20"/>
        <v>#DIV/0!</v>
      </c>
      <c r="AU14" s="11" t="e">
        <f t="shared" si="21"/>
        <v>#DIV/0!</v>
      </c>
      <c r="AV14" s="7"/>
      <c r="AW14" s="7"/>
      <c r="AX14" s="11" t="e">
        <f t="shared" si="22"/>
        <v>#DIV/0!</v>
      </c>
      <c r="AY14" s="11" t="e">
        <f t="shared" si="23"/>
        <v>#DIV/0!</v>
      </c>
      <c r="AZ14" s="20"/>
      <c r="BA14" s="20"/>
      <c r="BB14" s="11" t="e">
        <f t="shared" si="24"/>
        <v>#DIV/0!</v>
      </c>
      <c r="BC14" s="11" t="e">
        <f t="shared" si="25"/>
        <v>#DIV/0!</v>
      </c>
      <c r="BD14" s="19">
        <f t="shared" si="26"/>
        <v>13919449</v>
      </c>
      <c r="BE14" s="11" t="e">
        <f t="shared" si="27"/>
        <v>#DIV/0!</v>
      </c>
      <c r="BF14" s="11" t="e">
        <f t="shared" si="28"/>
        <v>#DIV/0!</v>
      </c>
    </row>
    <row r="15" spans="2:58" x14ac:dyDescent="0.35">
      <c r="B15" s="3">
        <f t="shared" ref="B15:B22" si="30">B14+1</f>
        <v>9</v>
      </c>
      <c r="C15" s="3" t="s">
        <v>22</v>
      </c>
      <c r="D15" s="38"/>
      <c r="E15" s="7"/>
      <c r="F15" s="11">
        <f t="shared" si="0"/>
        <v>0</v>
      </c>
      <c r="G15" s="11">
        <f t="shared" si="1"/>
        <v>0</v>
      </c>
      <c r="H15" s="38"/>
      <c r="I15" s="7"/>
      <c r="J15" s="11">
        <f t="shared" si="2"/>
        <v>0</v>
      </c>
      <c r="K15" s="11">
        <f t="shared" si="3"/>
        <v>0</v>
      </c>
      <c r="L15" s="38"/>
      <c r="M15" s="7"/>
      <c r="N15" s="11">
        <f t="shared" si="4"/>
        <v>0</v>
      </c>
      <c r="O15" s="11">
        <f t="shared" si="5"/>
        <v>0</v>
      </c>
      <c r="P15" s="38"/>
      <c r="Q15" s="7"/>
      <c r="R15" s="11" t="e">
        <f t="shared" si="6"/>
        <v>#DIV/0!</v>
      </c>
      <c r="S15" s="11" t="e">
        <f t="shared" si="7"/>
        <v>#DIV/0!</v>
      </c>
      <c r="T15" s="38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7"/>
      <c r="AG15" s="7"/>
      <c r="AH15" s="11" t="e">
        <f t="shared" si="14"/>
        <v>#DIV/0!</v>
      </c>
      <c r="AI15" s="11" t="e">
        <f t="shared" si="15"/>
        <v>#DIV/0!</v>
      </c>
      <c r="AJ15" s="20"/>
      <c r="AK15" s="20"/>
      <c r="AL15" s="11" t="e">
        <f t="shared" si="16"/>
        <v>#DIV/0!</v>
      </c>
      <c r="AM15" s="11" t="e">
        <f t="shared" si="17"/>
        <v>#DIV/0!</v>
      </c>
      <c r="AN15" s="7"/>
      <c r="AO15" s="7"/>
      <c r="AP15" s="11" t="e">
        <f t="shared" si="18"/>
        <v>#DIV/0!</v>
      </c>
      <c r="AQ15" s="11" t="e">
        <f t="shared" si="19"/>
        <v>#DIV/0!</v>
      </c>
      <c r="AR15" s="7"/>
      <c r="AS15" s="7"/>
      <c r="AT15" s="11" t="e">
        <f t="shared" si="20"/>
        <v>#DIV/0!</v>
      </c>
      <c r="AU15" s="11" t="e">
        <f t="shared" si="21"/>
        <v>#DIV/0!</v>
      </c>
      <c r="AV15" s="7"/>
      <c r="AW15" s="7"/>
      <c r="AX15" s="11" t="e">
        <f t="shared" si="22"/>
        <v>#DIV/0!</v>
      </c>
      <c r="AY15" s="11" t="e">
        <f t="shared" si="23"/>
        <v>#DIV/0!</v>
      </c>
      <c r="AZ15" s="20"/>
      <c r="BA15" s="20"/>
      <c r="BB15" s="11" t="e">
        <f t="shared" si="24"/>
        <v>#DIV/0!</v>
      </c>
      <c r="BC15" s="11" t="e">
        <f t="shared" si="25"/>
        <v>#DIV/0!</v>
      </c>
      <c r="BD15" s="19">
        <f t="shared" si="26"/>
        <v>0</v>
      </c>
      <c r="BE15" s="11" t="e">
        <f t="shared" si="27"/>
        <v>#DIV/0!</v>
      </c>
      <c r="BF15" s="11" t="e">
        <f t="shared" si="28"/>
        <v>#DIV/0!</v>
      </c>
    </row>
    <row r="16" spans="2:58" x14ac:dyDescent="0.35">
      <c r="B16" s="3">
        <f t="shared" si="30"/>
        <v>10</v>
      </c>
      <c r="C16" s="3" t="s">
        <v>29</v>
      </c>
      <c r="D16" s="38">
        <v>12</v>
      </c>
      <c r="E16" s="7">
        <v>49468329</v>
      </c>
      <c r="F16" s="11">
        <f t="shared" si="0"/>
        <v>0.42857142857142855</v>
      </c>
      <c r="G16" s="11">
        <f t="shared" si="1"/>
        <v>0.46040616175483162</v>
      </c>
      <c r="H16" s="38">
        <v>11</v>
      </c>
      <c r="I16" s="7">
        <v>48930811</v>
      </c>
      <c r="J16" s="11">
        <f t="shared" si="2"/>
        <v>0.45833333333333331</v>
      </c>
      <c r="K16" s="11">
        <f t="shared" si="3"/>
        <v>0.43573243266239992</v>
      </c>
      <c r="L16" s="38">
        <v>11</v>
      </c>
      <c r="M16" s="7">
        <v>46197153</v>
      </c>
      <c r="N16" s="11">
        <f t="shared" si="4"/>
        <v>0.45833333333333331</v>
      </c>
      <c r="O16" s="11">
        <f t="shared" si="5"/>
        <v>0.45564495897842916</v>
      </c>
      <c r="P16" s="38"/>
      <c r="Q16" s="16"/>
      <c r="R16" s="11" t="e">
        <f t="shared" si="6"/>
        <v>#DIV/0!</v>
      </c>
      <c r="S16" s="11" t="e">
        <f t="shared" si="7"/>
        <v>#DIV/0!</v>
      </c>
      <c r="T16" s="38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7"/>
      <c r="AG16" s="7"/>
      <c r="AH16" s="11" t="e">
        <f t="shared" si="14"/>
        <v>#DIV/0!</v>
      </c>
      <c r="AI16" s="11" t="e">
        <f t="shared" si="15"/>
        <v>#DIV/0!</v>
      </c>
      <c r="AJ16" s="20"/>
      <c r="AK16" s="20"/>
      <c r="AL16" s="11" t="e">
        <f t="shared" si="16"/>
        <v>#DIV/0!</v>
      </c>
      <c r="AM16" s="11" t="e">
        <f t="shared" si="17"/>
        <v>#DIV/0!</v>
      </c>
      <c r="AN16" s="7"/>
      <c r="AO16" s="7"/>
      <c r="AP16" s="11" t="e">
        <f t="shared" si="18"/>
        <v>#DIV/0!</v>
      </c>
      <c r="AQ16" s="11" t="e">
        <f t="shared" si="19"/>
        <v>#DIV/0!</v>
      </c>
      <c r="AR16" s="7"/>
      <c r="AS16" s="7"/>
      <c r="AT16" s="11" t="e">
        <f t="shared" si="20"/>
        <v>#DIV/0!</v>
      </c>
      <c r="AU16" s="11" t="e">
        <f t="shared" si="21"/>
        <v>#DIV/0!</v>
      </c>
      <c r="AV16" s="7"/>
      <c r="AW16" s="7"/>
      <c r="AX16" s="11" t="e">
        <f t="shared" si="22"/>
        <v>#DIV/0!</v>
      </c>
      <c r="AY16" s="11" t="e">
        <f t="shared" si="23"/>
        <v>#DIV/0!</v>
      </c>
      <c r="AZ16" s="20"/>
      <c r="BA16" s="20"/>
      <c r="BB16" s="11" t="e">
        <f t="shared" si="24"/>
        <v>#DIV/0!</v>
      </c>
      <c r="BC16" s="11" t="e">
        <f t="shared" si="25"/>
        <v>#DIV/0!</v>
      </c>
      <c r="BD16" s="19">
        <f t="shared" si="26"/>
        <v>144596293</v>
      </c>
      <c r="BE16" s="11" t="e">
        <f t="shared" si="27"/>
        <v>#DIV/0!</v>
      </c>
      <c r="BF16" s="11" t="e">
        <f t="shared" si="28"/>
        <v>#DIV/0!</v>
      </c>
    </row>
    <row r="17" spans="2:58" x14ac:dyDescent="0.35">
      <c r="B17" s="3">
        <f t="shared" si="30"/>
        <v>11</v>
      </c>
      <c r="C17" s="3" t="s">
        <v>40</v>
      </c>
      <c r="D17" s="38">
        <v>13</v>
      </c>
      <c r="E17" s="7">
        <v>45699763</v>
      </c>
      <c r="F17" s="11">
        <f t="shared" si="0"/>
        <v>0.4642857142857143</v>
      </c>
      <c r="G17" s="11">
        <f t="shared" si="1"/>
        <v>0.4253317809852738</v>
      </c>
      <c r="H17" s="38">
        <v>10</v>
      </c>
      <c r="I17" s="7">
        <v>49780080</v>
      </c>
      <c r="J17" s="11">
        <f t="shared" si="2"/>
        <v>0.41666666666666669</v>
      </c>
      <c r="K17" s="11">
        <f t="shared" si="3"/>
        <v>0.44329523490891826</v>
      </c>
      <c r="L17" s="38">
        <v>10</v>
      </c>
      <c r="M17" s="7">
        <v>43729248</v>
      </c>
      <c r="N17" s="11">
        <f t="shared" si="4"/>
        <v>0.41666666666666669</v>
      </c>
      <c r="O17" s="11">
        <f t="shared" si="5"/>
        <v>0.43130388167248218</v>
      </c>
      <c r="P17" s="38"/>
      <c r="Q17" s="16"/>
      <c r="R17" s="11" t="e">
        <f t="shared" si="6"/>
        <v>#DIV/0!</v>
      </c>
      <c r="S17" s="11" t="e">
        <f t="shared" si="7"/>
        <v>#DIV/0!</v>
      </c>
      <c r="T17" s="38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7"/>
      <c r="AD17" s="11" t="e">
        <f t="shared" si="12"/>
        <v>#DIV/0!</v>
      </c>
      <c r="AE17" s="11" t="e">
        <f t="shared" si="13"/>
        <v>#DIV/0!</v>
      </c>
      <c r="AF17" s="7"/>
      <c r="AG17" s="20"/>
      <c r="AH17" s="11" t="e">
        <f t="shared" si="14"/>
        <v>#DIV/0!</v>
      </c>
      <c r="AI17" s="11" t="e">
        <f t="shared" si="15"/>
        <v>#DIV/0!</v>
      </c>
      <c r="AJ17" s="20"/>
      <c r="AK17" s="20"/>
      <c r="AL17" s="11" t="e">
        <f t="shared" si="16"/>
        <v>#DIV/0!</v>
      </c>
      <c r="AM17" s="11" t="e">
        <f t="shared" si="17"/>
        <v>#DIV/0!</v>
      </c>
      <c r="AN17" s="7"/>
      <c r="AO17" s="7"/>
      <c r="AP17" s="11" t="e">
        <f t="shared" si="18"/>
        <v>#DIV/0!</v>
      </c>
      <c r="AQ17" s="11" t="e">
        <f t="shared" si="19"/>
        <v>#DIV/0!</v>
      </c>
      <c r="AR17" s="7"/>
      <c r="AS17" s="7"/>
      <c r="AT17" s="11" t="e">
        <f t="shared" si="20"/>
        <v>#DIV/0!</v>
      </c>
      <c r="AU17" s="11" t="e">
        <f t="shared" si="21"/>
        <v>#DIV/0!</v>
      </c>
      <c r="AV17" s="7"/>
      <c r="AW17" s="7"/>
      <c r="AX17" s="11" t="e">
        <f t="shared" si="22"/>
        <v>#DIV/0!</v>
      </c>
      <c r="AY17" s="11" t="e">
        <f t="shared" si="23"/>
        <v>#DIV/0!</v>
      </c>
      <c r="AZ17" s="20"/>
      <c r="BA17" s="20"/>
      <c r="BB17" s="11" t="e">
        <f t="shared" si="24"/>
        <v>#DIV/0!</v>
      </c>
      <c r="BC17" s="11" t="e">
        <f t="shared" si="25"/>
        <v>#DIV/0!</v>
      </c>
      <c r="BD17" s="19">
        <f t="shared" si="26"/>
        <v>139209091</v>
      </c>
      <c r="BE17" s="11" t="e">
        <f t="shared" si="27"/>
        <v>#DIV/0!</v>
      </c>
      <c r="BF17" s="11" t="e">
        <f t="shared" si="28"/>
        <v>#DIV/0!</v>
      </c>
    </row>
    <row r="18" spans="2:58" x14ac:dyDescent="0.35">
      <c r="B18" s="3">
        <f t="shared" si="30"/>
        <v>12</v>
      </c>
      <c r="C18" s="3" t="s">
        <v>41</v>
      </c>
      <c r="D18" s="38"/>
      <c r="E18" s="7"/>
      <c r="F18" s="11">
        <f t="shared" si="0"/>
        <v>0</v>
      </c>
      <c r="G18" s="11">
        <f t="shared" si="1"/>
        <v>0</v>
      </c>
      <c r="H18" s="38"/>
      <c r="I18" s="7"/>
      <c r="J18" s="11">
        <f t="shared" si="2"/>
        <v>0</v>
      </c>
      <c r="K18" s="11">
        <f t="shared" si="3"/>
        <v>0</v>
      </c>
      <c r="L18" s="38"/>
      <c r="M18" s="7"/>
      <c r="N18" s="11">
        <f t="shared" si="4"/>
        <v>0</v>
      </c>
      <c r="O18" s="11">
        <f t="shared" si="5"/>
        <v>0</v>
      </c>
      <c r="P18" s="38"/>
      <c r="Q18" s="7"/>
      <c r="R18" s="11" t="e">
        <f t="shared" si="6"/>
        <v>#DIV/0!</v>
      </c>
      <c r="S18" s="11" t="e">
        <f t="shared" si="7"/>
        <v>#DIV/0!</v>
      </c>
      <c r="T18" s="38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7"/>
      <c r="AG18" s="7"/>
      <c r="AH18" s="11" t="e">
        <f t="shared" si="14"/>
        <v>#DIV/0!</v>
      </c>
      <c r="AI18" s="11" t="e">
        <f t="shared" si="15"/>
        <v>#DIV/0!</v>
      </c>
      <c r="AJ18" s="20"/>
      <c r="AK18" s="20"/>
      <c r="AL18" s="11" t="e">
        <f t="shared" si="16"/>
        <v>#DIV/0!</v>
      </c>
      <c r="AM18" s="11" t="e">
        <f t="shared" si="17"/>
        <v>#DIV/0!</v>
      </c>
      <c r="AN18" s="7"/>
      <c r="AO18" s="7"/>
      <c r="AP18" s="11" t="e">
        <f t="shared" si="18"/>
        <v>#DIV/0!</v>
      </c>
      <c r="AQ18" s="11" t="e">
        <f t="shared" si="19"/>
        <v>#DIV/0!</v>
      </c>
      <c r="AR18" s="7"/>
      <c r="AS18" s="7"/>
      <c r="AT18" s="11" t="e">
        <f t="shared" si="20"/>
        <v>#DIV/0!</v>
      </c>
      <c r="AU18" s="11" t="e">
        <f t="shared" si="21"/>
        <v>#DIV/0!</v>
      </c>
      <c r="AV18" s="7"/>
      <c r="AW18" s="7"/>
      <c r="AX18" s="11" t="e">
        <f t="shared" si="22"/>
        <v>#DIV/0!</v>
      </c>
      <c r="AY18" s="11" t="e">
        <f t="shared" si="23"/>
        <v>#DIV/0!</v>
      </c>
      <c r="AZ18" s="20"/>
      <c r="BA18" s="20"/>
      <c r="BB18" s="11" t="e">
        <f t="shared" si="24"/>
        <v>#DIV/0!</v>
      </c>
      <c r="BC18" s="11" t="e">
        <f t="shared" si="25"/>
        <v>#DIV/0!</v>
      </c>
      <c r="BD18" s="19">
        <f t="shared" si="26"/>
        <v>0</v>
      </c>
      <c r="BE18" s="11" t="e">
        <f t="shared" si="27"/>
        <v>#DIV/0!</v>
      </c>
      <c r="BF18" s="11" t="e">
        <f t="shared" si="28"/>
        <v>#DIV/0!</v>
      </c>
    </row>
    <row r="19" spans="2:58" x14ac:dyDescent="0.35">
      <c r="B19" s="3">
        <f t="shared" si="30"/>
        <v>13</v>
      </c>
      <c r="C19" s="3" t="s">
        <v>23</v>
      </c>
      <c r="D19" s="38"/>
      <c r="E19" s="7"/>
      <c r="F19" s="11">
        <f t="shared" si="0"/>
        <v>0</v>
      </c>
      <c r="G19" s="11">
        <f t="shared" si="1"/>
        <v>0</v>
      </c>
      <c r="H19" s="38"/>
      <c r="I19" s="7"/>
      <c r="J19" s="11">
        <f t="shared" si="2"/>
        <v>0</v>
      </c>
      <c r="K19" s="11">
        <f t="shared" si="3"/>
        <v>0</v>
      </c>
      <c r="L19" s="38"/>
      <c r="M19" s="7"/>
      <c r="N19" s="11">
        <f t="shared" si="4"/>
        <v>0</v>
      </c>
      <c r="O19" s="11">
        <f t="shared" si="5"/>
        <v>0</v>
      </c>
      <c r="P19" s="38"/>
      <c r="Q19" s="16"/>
      <c r="R19" s="11" t="e">
        <f t="shared" si="6"/>
        <v>#DIV/0!</v>
      </c>
      <c r="S19" s="11" t="e">
        <f t="shared" si="7"/>
        <v>#DIV/0!</v>
      </c>
      <c r="T19" s="38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7"/>
      <c r="AG19" s="7"/>
      <c r="AH19" s="11" t="e">
        <f t="shared" si="14"/>
        <v>#DIV/0!</v>
      </c>
      <c r="AI19" s="11" t="e">
        <f t="shared" si="15"/>
        <v>#DIV/0!</v>
      </c>
      <c r="AJ19" s="20"/>
      <c r="AK19" s="20"/>
      <c r="AL19" s="11" t="e">
        <f t="shared" si="16"/>
        <v>#DIV/0!</v>
      </c>
      <c r="AM19" s="11" t="e">
        <f t="shared" si="17"/>
        <v>#DIV/0!</v>
      </c>
      <c r="AN19" s="7"/>
      <c r="AO19" s="7"/>
      <c r="AP19" s="11" t="e">
        <f t="shared" si="18"/>
        <v>#DIV/0!</v>
      </c>
      <c r="AQ19" s="11" t="e">
        <f t="shared" si="19"/>
        <v>#DIV/0!</v>
      </c>
      <c r="AR19" s="7"/>
      <c r="AS19" s="7"/>
      <c r="AT19" s="11" t="e">
        <f t="shared" si="20"/>
        <v>#DIV/0!</v>
      </c>
      <c r="AU19" s="11" t="e">
        <f t="shared" si="21"/>
        <v>#DIV/0!</v>
      </c>
      <c r="AV19" s="7">
        <v>0</v>
      </c>
      <c r="AW19" s="7">
        <v>0</v>
      </c>
      <c r="AX19" s="11" t="e">
        <f t="shared" si="22"/>
        <v>#DIV/0!</v>
      </c>
      <c r="AY19" s="11" t="e">
        <f t="shared" si="23"/>
        <v>#DIV/0!</v>
      </c>
      <c r="AZ19" s="20"/>
      <c r="BA19" s="20"/>
      <c r="BB19" s="11" t="e">
        <f t="shared" si="24"/>
        <v>#DIV/0!</v>
      </c>
      <c r="BC19" s="11" t="e">
        <f t="shared" si="25"/>
        <v>#DIV/0!</v>
      </c>
      <c r="BD19" s="19">
        <f t="shared" si="26"/>
        <v>0</v>
      </c>
      <c r="BE19" s="11" t="e">
        <f t="shared" si="27"/>
        <v>#DIV/0!</v>
      </c>
      <c r="BF19" s="11" t="e">
        <f t="shared" si="28"/>
        <v>#DIV/0!</v>
      </c>
    </row>
    <row r="20" spans="2:58" x14ac:dyDescent="0.35">
      <c r="B20" s="3">
        <f t="shared" si="30"/>
        <v>14</v>
      </c>
      <c r="C20" s="3" t="s">
        <v>24</v>
      </c>
      <c r="D20" s="38"/>
      <c r="E20" s="7"/>
      <c r="F20" s="11">
        <f t="shared" si="0"/>
        <v>0</v>
      </c>
      <c r="G20" s="11">
        <f t="shared" si="1"/>
        <v>0</v>
      </c>
      <c r="H20" s="38"/>
      <c r="I20" s="7"/>
      <c r="J20" s="11">
        <f t="shared" si="2"/>
        <v>0</v>
      </c>
      <c r="K20" s="11">
        <f t="shared" si="3"/>
        <v>0</v>
      </c>
      <c r="L20" s="38"/>
      <c r="M20" s="7"/>
      <c r="N20" s="11">
        <f t="shared" si="4"/>
        <v>0</v>
      </c>
      <c r="O20" s="11">
        <f t="shared" si="5"/>
        <v>0</v>
      </c>
      <c r="P20" s="38"/>
      <c r="Q20" s="7"/>
      <c r="R20" s="11" t="e">
        <f t="shared" si="6"/>
        <v>#DIV/0!</v>
      </c>
      <c r="S20" s="11" t="e">
        <f t="shared" si="7"/>
        <v>#DIV/0!</v>
      </c>
      <c r="T20" s="38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7"/>
      <c r="AG20" s="7"/>
      <c r="AH20" s="11" t="e">
        <f t="shared" si="14"/>
        <v>#DIV/0!</v>
      </c>
      <c r="AI20" s="11" t="e">
        <f t="shared" si="15"/>
        <v>#DIV/0!</v>
      </c>
      <c r="AJ20" s="20"/>
      <c r="AK20" s="20"/>
      <c r="AL20" s="11" t="e">
        <f t="shared" si="16"/>
        <v>#DIV/0!</v>
      </c>
      <c r="AM20" s="11" t="e">
        <f t="shared" si="17"/>
        <v>#DIV/0!</v>
      </c>
      <c r="AN20" s="7"/>
      <c r="AO20" s="7"/>
      <c r="AP20" s="11" t="e">
        <f t="shared" si="18"/>
        <v>#DIV/0!</v>
      </c>
      <c r="AQ20" s="11" t="e">
        <f t="shared" si="19"/>
        <v>#DIV/0!</v>
      </c>
      <c r="AR20" s="7"/>
      <c r="AS20" s="7"/>
      <c r="AT20" s="11" t="e">
        <f t="shared" si="20"/>
        <v>#DIV/0!</v>
      </c>
      <c r="AU20" s="11" t="e">
        <f t="shared" si="21"/>
        <v>#DIV/0!</v>
      </c>
      <c r="AV20" s="7"/>
      <c r="AW20" s="7"/>
      <c r="AX20" s="11" t="e">
        <f t="shared" si="22"/>
        <v>#DIV/0!</v>
      </c>
      <c r="AY20" s="11" t="e">
        <f t="shared" si="23"/>
        <v>#DIV/0!</v>
      </c>
      <c r="AZ20" s="20"/>
      <c r="BA20" s="20"/>
      <c r="BB20" s="11" t="e">
        <f t="shared" si="24"/>
        <v>#DIV/0!</v>
      </c>
      <c r="BC20" s="11" t="e">
        <f t="shared" si="25"/>
        <v>#DIV/0!</v>
      </c>
      <c r="BD20" s="19">
        <f t="shared" si="26"/>
        <v>0</v>
      </c>
      <c r="BE20" s="11" t="e">
        <f t="shared" si="27"/>
        <v>#DIV/0!</v>
      </c>
      <c r="BF20" s="11" t="e">
        <f t="shared" si="28"/>
        <v>#DIV/0!</v>
      </c>
    </row>
    <row r="21" spans="2:58" x14ac:dyDescent="0.35">
      <c r="B21" s="3">
        <f t="shared" si="30"/>
        <v>15</v>
      </c>
      <c r="C21" s="3" t="s">
        <v>25</v>
      </c>
      <c r="D21" s="38"/>
      <c r="E21" s="7"/>
      <c r="F21" s="11">
        <f t="shared" si="0"/>
        <v>0</v>
      </c>
      <c r="G21" s="11">
        <f t="shared" si="1"/>
        <v>0</v>
      </c>
      <c r="H21" s="38"/>
      <c r="I21" s="7"/>
      <c r="J21" s="11">
        <f t="shared" si="2"/>
        <v>0</v>
      </c>
      <c r="K21" s="11">
        <f t="shared" si="3"/>
        <v>0</v>
      </c>
      <c r="L21" s="38"/>
      <c r="M21" s="7"/>
      <c r="N21" s="11">
        <f t="shared" si="4"/>
        <v>0</v>
      </c>
      <c r="O21" s="11">
        <f t="shared" si="5"/>
        <v>0</v>
      </c>
      <c r="P21" s="38"/>
      <c r="Q21" s="7"/>
      <c r="R21" s="11" t="e">
        <f t="shared" si="6"/>
        <v>#DIV/0!</v>
      </c>
      <c r="S21" s="11" t="e">
        <f t="shared" si="7"/>
        <v>#DIV/0!</v>
      </c>
      <c r="T21" s="38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20"/>
      <c r="AK21" s="20"/>
      <c r="AL21" s="11" t="e">
        <f t="shared" si="16"/>
        <v>#DIV/0!</v>
      </c>
      <c r="AM21" s="11" t="e">
        <f t="shared" si="17"/>
        <v>#DIV/0!</v>
      </c>
      <c r="AN21" s="7"/>
      <c r="AO21" s="7"/>
      <c r="AP21" s="11" t="e">
        <f t="shared" si="18"/>
        <v>#DIV/0!</v>
      </c>
      <c r="AQ21" s="11" t="e">
        <f t="shared" si="19"/>
        <v>#DIV/0!</v>
      </c>
      <c r="AR21" s="7"/>
      <c r="AS21" s="7"/>
      <c r="AT21" s="11" t="e">
        <f t="shared" si="20"/>
        <v>#DIV/0!</v>
      </c>
      <c r="AU21" s="11" t="e">
        <f t="shared" si="21"/>
        <v>#DIV/0!</v>
      </c>
      <c r="AV21" s="7">
        <v>0</v>
      </c>
      <c r="AW21" s="7">
        <v>0</v>
      </c>
      <c r="AX21" s="11" t="e">
        <f t="shared" si="22"/>
        <v>#DIV/0!</v>
      </c>
      <c r="AY21" s="11" t="e">
        <f t="shared" si="23"/>
        <v>#DIV/0!</v>
      </c>
      <c r="AZ21" s="20"/>
      <c r="BA21" s="20"/>
      <c r="BB21" s="11" t="e">
        <f t="shared" si="24"/>
        <v>#DIV/0!</v>
      </c>
      <c r="BC21" s="11" t="e">
        <f t="shared" si="25"/>
        <v>#DIV/0!</v>
      </c>
      <c r="BD21" s="19">
        <f t="shared" si="26"/>
        <v>0</v>
      </c>
      <c r="BE21" s="11" t="e">
        <f t="shared" si="27"/>
        <v>#DIV/0!</v>
      </c>
      <c r="BF21" s="11" t="e">
        <f t="shared" si="28"/>
        <v>#DIV/0!</v>
      </c>
    </row>
    <row r="22" spans="2:58" x14ac:dyDescent="0.35">
      <c r="B22" s="3">
        <f t="shared" si="30"/>
        <v>16</v>
      </c>
      <c r="C22" s="3" t="s">
        <v>26</v>
      </c>
      <c r="D22" s="38"/>
      <c r="E22" s="7"/>
      <c r="F22" s="11">
        <f t="shared" si="0"/>
        <v>0</v>
      </c>
      <c r="G22" s="11">
        <f t="shared" si="1"/>
        <v>0</v>
      </c>
      <c r="H22" s="38"/>
      <c r="I22" s="7"/>
      <c r="J22" s="11">
        <f t="shared" si="2"/>
        <v>0</v>
      </c>
      <c r="K22" s="11">
        <f t="shared" si="3"/>
        <v>0</v>
      </c>
      <c r="L22" s="38"/>
      <c r="M22" s="7"/>
      <c r="N22" s="11">
        <f t="shared" si="4"/>
        <v>0</v>
      </c>
      <c r="O22" s="11">
        <f t="shared" si="5"/>
        <v>0</v>
      </c>
      <c r="P22" s="38"/>
      <c r="Q22" s="7"/>
      <c r="R22" s="11" t="e">
        <f t="shared" si="6"/>
        <v>#DIV/0!</v>
      </c>
      <c r="S22" s="11" t="e">
        <f t="shared" si="7"/>
        <v>#DIV/0!</v>
      </c>
      <c r="T22" s="38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20"/>
      <c r="AK22" s="20"/>
      <c r="AL22" s="11" t="e">
        <f t="shared" si="16"/>
        <v>#DIV/0!</v>
      </c>
      <c r="AM22" s="11" t="e">
        <f t="shared" si="17"/>
        <v>#DIV/0!</v>
      </c>
      <c r="AN22" s="7"/>
      <c r="AO22" s="7"/>
      <c r="AP22" s="11" t="e">
        <f t="shared" si="18"/>
        <v>#DIV/0!</v>
      </c>
      <c r="AQ22" s="11" t="e">
        <f t="shared" si="19"/>
        <v>#DIV/0!</v>
      </c>
      <c r="AR22" s="7"/>
      <c r="AS22" s="7"/>
      <c r="AT22" s="11" t="e">
        <f t="shared" si="20"/>
        <v>#DIV/0!</v>
      </c>
      <c r="AU22" s="11" t="e">
        <f t="shared" si="21"/>
        <v>#DIV/0!</v>
      </c>
      <c r="AV22" s="7">
        <v>0</v>
      </c>
      <c r="AW22" s="7">
        <v>0</v>
      </c>
      <c r="AX22" s="11" t="e">
        <f t="shared" si="22"/>
        <v>#DIV/0!</v>
      </c>
      <c r="AY22" s="11" t="e">
        <f t="shared" si="23"/>
        <v>#DIV/0!</v>
      </c>
      <c r="AZ22" s="20"/>
      <c r="BA22" s="20"/>
      <c r="BB22" s="11" t="e">
        <f t="shared" si="24"/>
        <v>#DIV/0!</v>
      </c>
      <c r="BC22" s="11" t="e">
        <f t="shared" si="25"/>
        <v>#DIV/0!</v>
      </c>
      <c r="BD22" s="19">
        <f t="shared" si="26"/>
        <v>0</v>
      </c>
      <c r="BE22" s="11" t="e">
        <f t="shared" si="27"/>
        <v>#DIV/0!</v>
      </c>
      <c r="BF22" s="11" t="e">
        <f t="shared" si="28"/>
        <v>#DIV/0!</v>
      </c>
    </row>
    <row r="23" spans="2:58" x14ac:dyDescent="0.35">
      <c r="B23" s="18"/>
      <c r="C23" s="18"/>
      <c r="D23" s="39"/>
      <c r="E23" s="17"/>
      <c r="F23" s="7"/>
      <c r="G23" s="7"/>
      <c r="H23" s="43"/>
      <c r="I23" s="17"/>
      <c r="J23" s="7"/>
      <c r="K23" s="7"/>
      <c r="L23" s="43"/>
      <c r="M23" s="17"/>
      <c r="N23" s="7"/>
      <c r="O23" s="7"/>
      <c r="P23" s="43"/>
      <c r="Q23" s="17"/>
      <c r="R23" s="7"/>
      <c r="S23" s="7"/>
      <c r="T23" s="43"/>
      <c r="U23" s="1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17"/>
      <c r="BB23" s="7"/>
      <c r="BC23" s="7"/>
      <c r="BD23" s="17"/>
      <c r="BE23" s="7"/>
      <c r="BF23" s="7"/>
    </row>
    <row r="24" spans="2:58" x14ac:dyDescent="0.35">
      <c r="B24" s="4"/>
      <c r="C24" s="4" t="s">
        <v>12</v>
      </c>
      <c r="D24" s="40">
        <f t="shared" ref="D24:AU24" si="31">SUM(D7:D23)</f>
        <v>28</v>
      </c>
      <c r="E24" s="5">
        <f t="shared" si="31"/>
        <v>107444976</v>
      </c>
      <c r="F24" s="10">
        <f t="shared" si="31"/>
        <v>1</v>
      </c>
      <c r="G24" s="10">
        <f t="shared" si="31"/>
        <v>1</v>
      </c>
      <c r="H24" s="40">
        <f t="shared" si="31"/>
        <v>24</v>
      </c>
      <c r="I24" s="5">
        <f t="shared" si="31"/>
        <v>112295545</v>
      </c>
      <c r="J24" s="10">
        <f t="shared" si="31"/>
        <v>1</v>
      </c>
      <c r="K24" s="10">
        <f t="shared" si="31"/>
        <v>1</v>
      </c>
      <c r="L24" s="40">
        <f t="shared" si="31"/>
        <v>24</v>
      </c>
      <c r="M24" s="5">
        <f t="shared" si="31"/>
        <v>101388487</v>
      </c>
      <c r="N24" s="10">
        <f t="shared" si="31"/>
        <v>1</v>
      </c>
      <c r="O24" s="10">
        <f t="shared" si="31"/>
        <v>1</v>
      </c>
      <c r="P24" s="40">
        <f t="shared" si="31"/>
        <v>0</v>
      </c>
      <c r="Q24" s="5">
        <f t="shared" si="31"/>
        <v>0</v>
      </c>
      <c r="R24" s="10" t="e">
        <f t="shared" si="31"/>
        <v>#DIV/0!</v>
      </c>
      <c r="S24" s="10" t="e">
        <f t="shared" si="31"/>
        <v>#DIV/0!</v>
      </c>
      <c r="T24" s="40">
        <f t="shared" si="31"/>
        <v>0</v>
      </c>
      <c r="U24" s="5">
        <f t="shared" si="31"/>
        <v>0</v>
      </c>
      <c r="V24" s="10" t="e">
        <f t="shared" si="31"/>
        <v>#DIV/0!</v>
      </c>
      <c r="W24" s="10" t="e">
        <f t="shared" si="31"/>
        <v>#DIV/0!</v>
      </c>
      <c r="X24" s="5">
        <f t="shared" si="31"/>
        <v>0</v>
      </c>
      <c r="Y24" s="5">
        <f t="shared" si="31"/>
        <v>0</v>
      </c>
      <c r="Z24" s="10" t="e">
        <f t="shared" si="31"/>
        <v>#DIV/0!</v>
      </c>
      <c r="AA24" s="10" t="e">
        <f t="shared" si="31"/>
        <v>#DIV/0!</v>
      </c>
      <c r="AB24" s="5">
        <f t="shared" si="31"/>
        <v>0</v>
      </c>
      <c r="AC24" s="5">
        <f t="shared" si="31"/>
        <v>0</v>
      </c>
      <c r="AD24" s="10" t="e">
        <f t="shared" si="31"/>
        <v>#DIV/0!</v>
      </c>
      <c r="AE24" s="10" t="e">
        <f t="shared" si="31"/>
        <v>#DIV/0!</v>
      </c>
      <c r="AF24" s="5">
        <f t="shared" si="31"/>
        <v>0</v>
      </c>
      <c r="AG24" s="5">
        <f t="shared" si="31"/>
        <v>0</v>
      </c>
      <c r="AH24" s="10" t="e">
        <f t="shared" si="31"/>
        <v>#DIV/0!</v>
      </c>
      <c r="AI24" s="10" t="e">
        <f t="shared" si="31"/>
        <v>#DIV/0!</v>
      </c>
      <c r="AJ24" s="5">
        <f t="shared" si="31"/>
        <v>0</v>
      </c>
      <c r="AK24" s="5">
        <f t="shared" si="31"/>
        <v>0</v>
      </c>
      <c r="AL24" s="10" t="e">
        <f t="shared" si="31"/>
        <v>#DIV/0!</v>
      </c>
      <c r="AM24" s="10" t="e">
        <f t="shared" si="31"/>
        <v>#DIV/0!</v>
      </c>
      <c r="AN24" s="5">
        <f t="shared" si="31"/>
        <v>0</v>
      </c>
      <c r="AO24" s="5">
        <f t="shared" si="31"/>
        <v>0</v>
      </c>
      <c r="AP24" s="10" t="e">
        <f t="shared" si="31"/>
        <v>#DIV/0!</v>
      </c>
      <c r="AQ24" s="10" t="e">
        <f t="shared" si="31"/>
        <v>#DIV/0!</v>
      </c>
      <c r="AR24" s="5">
        <f t="shared" si="31"/>
        <v>0</v>
      </c>
      <c r="AS24" s="5">
        <f t="shared" si="31"/>
        <v>0</v>
      </c>
      <c r="AT24" s="10" t="e">
        <f t="shared" si="31"/>
        <v>#DIV/0!</v>
      </c>
      <c r="AU24" s="10" t="e">
        <f t="shared" si="31"/>
        <v>#DIV/0!</v>
      </c>
      <c r="AV24" s="5">
        <f>SUM(AV7:AV22)</f>
        <v>0</v>
      </c>
      <c r="AW24" s="5">
        <f>SUM(AW7:AW23)</f>
        <v>0</v>
      </c>
      <c r="AX24" s="10" t="e">
        <f>SUM(AX7:AX23)</f>
        <v>#DIV/0!</v>
      </c>
      <c r="AY24" s="10" t="e">
        <f>SUM(AY7:AY23)</f>
        <v>#DIV/0!</v>
      </c>
      <c r="AZ24" s="5">
        <f>SUM(AZ7:AZ22)</f>
        <v>0</v>
      </c>
      <c r="BA24" s="5">
        <f t="shared" ref="BA24:BF24" si="32">SUM(BA7:BA23)</f>
        <v>0</v>
      </c>
      <c r="BB24" s="10" t="e">
        <f t="shared" si="32"/>
        <v>#DIV/0!</v>
      </c>
      <c r="BC24" s="10" t="e">
        <f t="shared" si="32"/>
        <v>#DIV/0!</v>
      </c>
      <c r="BD24" s="5">
        <f t="shared" si="32"/>
        <v>321129008</v>
      </c>
      <c r="BE24" s="10" t="e">
        <f t="shared" si="32"/>
        <v>#DIV/0!</v>
      </c>
      <c r="BF24" s="10" t="e">
        <f t="shared" si="32"/>
        <v>#DIV/0!</v>
      </c>
    </row>
    <row r="25" spans="2:58" x14ac:dyDescent="0.35">
      <c r="E25" s="1"/>
      <c r="F25" s="1"/>
      <c r="G25" s="1"/>
      <c r="H25" s="44"/>
      <c r="I25" s="1"/>
      <c r="J25" s="1"/>
      <c r="K25" s="1"/>
      <c r="L25" s="44"/>
      <c r="M25" s="1"/>
      <c r="N25" s="1"/>
      <c r="O25" s="1"/>
      <c r="P25" s="44"/>
      <c r="Q25" s="1"/>
      <c r="R25" s="1"/>
      <c r="S25" s="1"/>
      <c r="T25" s="44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</sheetData>
  <mergeCells count="12">
    <mergeCell ref="D5:G5"/>
    <mergeCell ref="H5:I5"/>
    <mergeCell ref="L5:M5"/>
    <mergeCell ref="P5:Q5"/>
    <mergeCell ref="T5:U5"/>
    <mergeCell ref="AV5:AW5"/>
    <mergeCell ref="X5:Y5"/>
    <mergeCell ref="AB5:AC5"/>
    <mergeCell ref="AF5:AG5"/>
    <mergeCell ref="AJ5:AK5"/>
    <mergeCell ref="AN5:AO5"/>
    <mergeCell ref="AR5:AS5"/>
  </mergeCells>
  <conditionalFormatting sqref="E13">
    <cfRule type="top10" dxfId="169" priority="42" rank="1"/>
    <cfRule type="top10" dxfId="168" priority="41" bottom="1" rank="1"/>
  </conditionalFormatting>
  <conditionalFormatting sqref="E15">
    <cfRule type="top10" dxfId="167" priority="25" bottom="1" rank="1"/>
    <cfRule type="top10" dxfId="166" priority="26" rank="1"/>
  </conditionalFormatting>
  <conditionalFormatting sqref="E16:E17 E7:E12 E14 E19:E23">
    <cfRule type="top10" dxfId="165" priority="72" rank="1"/>
    <cfRule type="top10" dxfId="164" priority="71" bottom="1" rank="1"/>
  </conditionalFormatting>
  <conditionalFormatting sqref="E18">
    <cfRule type="top10" dxfId="163" priority="23" bottom="1" rank="1"/>
    <cfRule type="top10" dxfId="162" priority="24" rank="1"/>
  </conditionalFormatting>
  <conditionalFormatting sqref="I13">
    <cfRule type="top10" dxfId="161" priority="40" rank="1"/>
    <cfRule type="top10" dxfId="160" priority="39" bottom="1" rank="1"/>
  </conditionalFormatting>
  <conditionalFormatting sqref="I15">
    <cfRule type="top10" dxfId="159" priority="21" bottom="1" rank="1"/>
    <cfRule type="top10" dxfId="158" priority="22" rank="1"/>
  </conditionalFormatting>
  <conditionalFormatting sqref="I16:I17 I7:I12 I14 I19:I23">
    <cfRule type="top10" dxfId="157" priority="69" bottom="1" rank="1"/>
    <cfRule type="top10" dxfId="156" priority="70" rank="1"/>
  </conditionalFormatting>
  <conditionalFormatting sqref="I18">
    <cfRule type="top10" dxfId="155" priority="19" bottom="1" rank="1"/>
    <cfRule type="top10" dxfId="154" priority="20" rank="1"/>
  </conditionalFormatting>
  <conditionalFormatting sqref="M13">
    <cfRule type="top10" dxfId="153" priority="38" rank="1"/>
    <cfRule type="top10" dxfId="152" priority="37" bottom="1" rank="1"/>
  </conditionalFormatting>
  <conditionalFormatting sqref="M15">
    <cfRule type="top10" dxfId="151" priority="17" bottom="1" rank="1"/>
    <cfRule type="top10" dxfId="150" priority="18" rank="1"/>
  </conditionalFormatting>
  <conditionalFormatting sqref="M16:M17 M7:M12 M14 M19:M23">
    <cfRule type="top10" dxfId="149" priority="68" rank="1"/>
    <cfRule type="top10" dxfId="148" priority="67" bottom="1" rank="1"/>
  </conditionalFormatting>
  <conditionalFormatting sqref="M18">
    <cfRule type="top10" dxfId="147" priority="15" bottom="1" rank="1"/>
    <cfRule type="top10" dxfId="146" priority="16" rank="1"/>
  </conditionalFormatting>
  <conditionalFormatting sqref="Q13">
    <cfRule type="top10" dxfId="145" priority="36" rank="1"/>
    <cfRule type="top10" dxfId="144" priority="35" bottom="1" rank="1"/>
  </conditionalFormatting>
  <conditionalFormatting sqref="Q15">
    <cfRule type="top10" dxfId="143" priority="13" bottom="1" rank="1"/>
    <cfRule type="top10" dxfId="142" priority="14" rank="1"/>
  </conditionalFormatting>
  <conditionalFormatting sqref="Q16:Q17 Q7:Q12 Q14 Q19:Q23">
    <cfRule type="top10" dxfId="141" priority="65" bottom="1" rank="1"/>
    <cfRule type="top10" dxfId="140" priority="66" rank="1"/>
  </conditionalFormatting>
  <conditionalFormatting sqref="Q18">
    <cfRule type="top10" dxfId="139" priority="12" rank="1"/>
    <cfRule type="top10" dxfId="138" priority="11" bottom="1" rank="1"/>
  </conditionalFormatting>
  <conditionalFormatting sqref="U13">
    <cfRule type="top10" dxfId="137" priority="27" bottom="1" rank="1"/>
    <cfRule type="top10" dxfId="136" priority="28" rank="1"/>
  </conditionalFormatting>
  <conditionalFormatting sqref="U15">
    <cfRule type="top10" dxfId="135" priority="10" rank="1"/>
    <cfRule type="top10" dxfId="134" priority="9" bottom="1" rank="1"/>
  </conditionalFormatting>
  <conditionalFormatting sqref="U16:U17 U7:U12 U14 U19:U23">
    <cfRule type="top10" dxfId="133" priority="45" bottom="1" rank="1"/>
    <cfRule type="top10" dxfId="132" priority="46" rank="1"/>
  </conditionalFormatting>
  <conditionalFormatting sqref="U18">
    <cfRule type="top10" dxfId="131" priority="8" rank="1"/>
    <cfRule type="top10" dxfId="130" priority="7" bottom="1" rank="1"/>
  </conditionalFormatting>
  <conditionalFormatting sqref="Y7:Y12 Y14:Y23">
    <cfRule type="top10" dxfId="129" priority="555" bottom="1" rank="1"/>
    <cfRule type="top10" dxfId="128" priority="556" rank="1"/>
  </conditionalFormatting>
  <conditionalFormatting sqref="Y13">
    <cfRule type="top10" dxfId="127" priority="33" bottom="1" rank="1"/>
    <cfRule type="top10" dxfId="126" priority="34" rank="1"/>
  </conditionalFormatting>
  <conditionalFormatting sqref="AC7:AC12 AC14:AC23">
    <cfRule type="top10" dxfId="125" priority="559" bottom="1" rank="1"/>
    <cfRule type="top10" dxfId="124" priority="560" rank="1"/>
  </conditionalFormatting>
  <conditionalFormatting sqref="AC13">
    <cfRule type="top10" dxfId="123" priority="31" bottom="1" rank="1"/>
    <cfRule type="top10" dxfId="122" priority="32" rank="1"/>
  </conditionalFormatting>
  <conditionalFormatting sqref="AG7:AG12 AG14:AG23">
    <cfRule type="top10" dxfId="121" priority="563" bottom="1" rank="1"/>
    <cfRule type="top10" dxfId="120" priority="564" rank="1"/>
  </conditionalFormatting>
  <conditionalFormatting sqref="AG13">
    <cfRule type="top10" dxfId="119" priority="29" bottom="1" rank="1"/>
    <cfRule type="top10" dxfId="118" priority="30" rank="1"/>
  </conditionalFormatting>
  <conditionalFormatting sqref="AK9:AK11">
    <cfRule type="top10" dxfId="117" priority="4" rank="1"/>
    <cfRule type="top10" dxfId="116" priority="3" bottom="1" rank="1"/>
  </conditionalFormatting>
  <conditionalFormatting sqref="AK19:AK22">
    <cfRule type="top10" dxfId="115" priority="5" bottom="1" rank="1"/>
    <cfRule type="top10" dxfId="114" priority="6" rank="1"/>
  </conditionalFormatting>
  <conditionalFormatting sqref="AK23 AK7:AK8 AK12:AK18">
    <cfRule type="top10" dxfId="113" priority="57" bottom="1" rank="1"/>
    <cfRule type="top10" dxfId="112" priority="58" rank="1"/>
  </conditionalFormatting>
  <conditionalFormatting sqref="AO9:AO22">
    <cfRule type="top10" dxfId="111" priority="592" rank="1"/>
    <cfRule type="top10" dxfId="110" priority="591" bottom="1" rank="1"/>
  </conditionalFormatting>
  <conditionalFormatting sqref="AO23 AO7:AO8">
    <cfRule type="top10" dxfId="109" priority="55" bottom="1" rank="1"/>
    <cfRule type="top10" dxfId="108" priority="56" rank="1"/>
  </conditionalFormatting>
  <conditionalFormatting sqref="AS7:AS23">
    <cfRule type="top10" dxfId="107" priority="575" bottom="1" rank="1"/>
    <cfRule type="top10" dxfId="106" priority="576" rank="1"/>
  </conditionalFormatting>
  <conditionalFormatting sqref="AW7:AW23">
    <cfRule type="top10" dxfId="105" priority="579" bottom="1" rank="1"/>
    <cfRule type="top10" dxfId="104" priority="580" rank="1"/>
  </conditionalFormatting>
  <conditionalFormatting sqref="BA7:BA23">
    <cfRule type="top10" dxfId="103" priority="583" bottom="1" rank="1"/>
    <cfRule type="top10" dxfId="102" priority="584" rank="1"/>
  </conditionalFormatting>
  <conditionalFormatting sqref="BD7:BD23">
    <cfRule type="top10" dxfId="101" priority="587" bottom="1" rank="1"/>
    <cfRule type="top10" dxfId="100" priority="588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92D050"/>
  </sheetPr>
  <dimension ref="B1:BB26"/>
  <sheetViews>
    <sheetView zoomScale="70" zoomScaleNormal="70" workbookViewId="0">
      <pane xSplit="3" ySplit="6" topLeftCell="K7" activePane="bottomRight" state="frozen"/>
      <selection pane="topRight" activeCell="D1" sqref="D1"/>
      <selection pane="bottomLeft" activeCell="A7" sqref="A7"/>
      <selection pane="bottomRight" activeCell="M21" sqref="M21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6" width="9.26953125" customWidth="1"/>
    <col min="7" max="7" width="9.7265625" customWidth="1"/>
    <col min="8" max="8" width="6.26953125" customWidth="1"/>
    <col min="9" max="9" width="14" customWidth="1"/>
    <col min="10" max="10" width="8.26953125" customWidth="1"/>
    <col min="11" max="11" width="8.7265625" customWidth="1"/>
    <col min="12" max="12" width="6.26953125" customWidth="1"/>
    <col min="13" max="13" width="15.1796875" customWidth="1"/>
    <col min="14" max="15" width="8" customWidth="1"/>
    <col min="16" max="16" width="6.26953125" customWidth="1"/>
    <col min="17" max="17" width="17.54296875" bestFit="1" customWidth="1"/>
    <col min="18" max="19" width="8.1796875" bestFit="1" customWidth="1"/>
    <col min="20" max="20" width="6.26953125" customWidth="1"/>
    <col min="21" max="21" width="15.26953125" bestFit="1" customWidth="1"/>
    <col min="22" max="23" width="8" customWidth="1"/>
    <col min="24" max="24" width="6.26953125" customWidth="1"/>
    <col min="25" max="25" width="14.81640625" bestFit="1" customWidth="1"/>
    <col min="26" max="26" width="8.7265625" bestFit="1" customWidth="1"/>
    <col min="27" max="27" width="8.1796875" customWidth="1"/>
    <col min="28" max="28" width="6.26953125" customWidth="1"/>
    <col min="29" max="29" width="15.269531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1796875" customWidth="1"/>
    <col min="36" max="36" width="6.26953125" customWidth="1"/>
    <col min="37" max="37" width="16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8.1796875" customWidth="1"/>
    <col min="48" max="48" width="6.26953125" customWidth="1"/>
    <col min="49" max="49" width="15.81640625" bestFit="1" customWidth="1"/>
    <col min="50" max="50" width="8.1796875" customWidth="1"/>
    <col min="51" max="51" width="11.453125" customWidth="1"/>
    <col min="52" max="52" width="15.81640625" bestFit="1" customWidth="1"/>
    <col min="53" max="53" width="8.1796875" customWidth="1"/>
    <col min="54" max="54" width="8.26953125" customWidth="1"/>
  </cols>
  <sheetData>
    <row r="1" spans="2:54" x14ac:dyDescent="0.35">
      <c r="B1" t="s">
        <v>13</v>
      </c>
      <c r="AW1" s="8"/>
      <c r="AZ1" s="8"/>
    </row>
    <row r="2" spans="2:54" x14ac:dyDescent="0.35">
      <c r="B2" t="s">
        <v>38</v>
      </c>
      <c r="AW2" s="8"/>
      <c r="AZ2" s="8"/>
    </row>
    <row r="3" spans="2:54" x14ac:dyDescent="0.35">
      <c r="B3" t="s">
        <v>79</v>
      </c>
    </row>
    <row r="4" spans="2:54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</row>
    <row r="5" spans="2:54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4" s="14" customFormat="1" ht="29" x14ac:dyDescent="0.35">
      <c r="B6" s="12"/>
      <c r="C6" s="26" t="s">
        <v>42</v>
      </c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32</v>
      </c>
      <c r="BA6" s="13" t="s">
        <v>27</v>
      </c>
      <c r="BB6" s="13" t="s">
        <v>28</v>
      </c>
    </row>
    <row r="7" spans="2:54" s="6" customFormat="1" x14ac:dyDescent="0.35">
      <c r="B7" s="23">
        <v>1</v>
      </c>
      <c r="C7" s="3" t="s">
        <v>31</v>
      </c>
      <c r="D7" s="7"/>
      <c r="E7" s="7"/>
      <c r="F7" s="11">
        <f t="shared" ref="F7:F22" si="0">D7/$D$24</f>
        <v>0</v>
      </c>
      <c r="G7" s="11">
        <f t="shared" ref="G7:G22" si="1">E7/$E$24</f>
        <v>0</v>
      </c>
      <c r="H7" s="24"/>
      <c r="I7" s="24"/>
      <c r="J7" s="11">
        <f t="shared" ref="J7:J22" si="2">H7/$H$24</f>
        <v>0</v>
      </c>
      <c r="K7" s="11">
        <f t="shared" ref="K7:K22" si="3">I7/$I$24</f>
        <v>0</v>
      </c>
      <c r="L7" s="24"/>
      <c r="M7" s="24"/>
      <c r="N7" s="11">
        <f t="shared" ref="N7:N22" si="4">L7/$L$24</f>
        <v>0</v>
      </c>
      <c r="O7" s="11">
        <f t="shared" ref="O7:O22" si="5">M7/$M$24</f>
        <v>0</v>
      </c>
      <c r="P7" s="19"/>
      <c r="Q7" s="19"/>
      <c r="R7" s="11" t="e">
        <f t="shared" ref="R7:R22" si="6">P7/$P$24</f>
        <v>#DIV/0!</v>
      </c>
      <c r="S7" s="11" t="e">
        <f t="shared" ref="S7:S22" si="7">Q7/$Q$24</f>
        <v>#DIV/0!</v>
      </c>
      <c r="T7" s="24">
        <v>0</v>
      </c>
      <c r="U7" s="24"/>
      <c r="V7" s="11" t="e">
        <f t="shared" ref="V7:V22" si="8">T7/$T$24</f>
        <v>#DIV/0!</v>
      </c>
      <c r="W7" s="11" t="e">
        <f t="shared" ref="W7:W22" si="9">U7/$U$24</f>
        <v>#DIV/0!</v>
      </c>
      <c r="X7" s="24"/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5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5"/>
      <c r="AL7" s="11" t="e">
        <f t="shared" ref="AL7:AL22" si="16">AJ7/$AJ$24</f>
        <v>#DIV/0!</v>
      </c>
      <c r="AM7" s="11" t="e">
        <f t="shared" ref="AM7:AM22" si="17">AK7/$AK$24</f>
        <v>#DIV/0!</v>
      </c>
      <c r="AN7" s="24"/>
      <c r="AO7" s="24"/>
      <c r="AP7" s="11" t="e">
        <f t="shared" ref="AP7:AP22" si="18">AN7/$AJ$24</f>
        <v>#DIV/0!</v>
      </c>
      <c r="AQ7" s="11" t="e">
        <f t="shared" ref="AQ7:AQ22" si="19">AO7/$AK$24</f>
        <v>#DIV/0!</v>
      </c>
      <c r="AR7" s="24"/>
      <c r="AS7" s="25"/>
      <c r="AT7" s="11" t="e">
        <f t="shared" ref="AT7:AT22" si="20">AR7/$AJ$24</f>
        <v>#DIV/0!</v>
      </c>
      <c r="AU7" s="11" t="e">
        <f t="shared" ref="AU7:AU22" si="21">AS7/$AK$24</f>
        <v>#DIV/0!</v>
      </c>
      <c r="AV7" s="24"/>
      <c r="AW7" s="24"/>
      <c r="AX7" s="11" t="e">
        <f t="shared" ref="AX7:AX22" si="22">AV7/$AJ$24</f>
        <v>#DIV/0!</v>
      </c>
      <c r="AY7" s="11" t="e">
        <f t="shared" ref="AY7:AY22" si="23">AW7/$AK$24</f>
        <v>#DIV/0!</v>
      </c>
      <c r="AZ7" s="19">
        <f t="shared" ref="AZ7:AZ22" si="24">E7+I7+M7+Q7+U7+Y7+AC7+AG7+AK7+AO7+AS7+AW7</f>
        <v>0</v>
      </c>
      <c r="BA7" s="11" t="e">
        <f t="shared" ref="BA7:BA22" si="25">AVERAGE(F7,J7,N7,R7,V7,Z7,AD7,AH7,AL7,AP7,AT7,AX7)</f>
        <v>#DIV/0!</v>
      </c>
      <c r="BB7" s="11" t="e">
        <f t="shared" ref="BB7:BB22" si="26">AVERAGE(G7,K7,O7,S7,W7,AA7,AE7,AI7,AM7,AQ7,AU7,AY7)</f>
        <v>#DIV/0!</v>
      </c>
    </row>
    <row r="8" spans="2:54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20"/>
      <c r="I8" s="7"/>
      <c r="J8" s="11">
        <f t="shared" si="2"/>
        <v>0</v>
      </c>
      <c r="K8" s="11">
        <f t="shared" si="3"/>
        <v>0</v>
      </c>
      <c r="L8" s="20"/>
      <c r="M8" s="7"/>
      <c r="N8" s="11">
        <f t="shared" si="4"/>
        <v>0</v>
      </c>
      <c r="O8" s="11">
        <f t="shared" si="5"/>
        <v>0</v>
      </c>
      <c r="P8" s="20"/>
      <c r="Q8" s="7"/>
      <c r="R8" s="11" t="e">
        <f t="shared" si="6"/>
        <v>#DIV/0!</v>
      </c>
      <c r="S8" s="11" t="e">
        <f t="shared" si="7"/>
        <v>#DIV/0!</v>
      </c>
      <c r="T8" s="20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7"/>
      <c r="AC8" s="20"/>
      <c r="AD8" s="11" t="e">
        <f t="shared" si="12"/>
        <v>#DIV/0!</v>
      </c>
      <c r="AE8" s="11" t="e">
        <f t="shared" si="13"/>
        <v>#DIV/0!</v>
      </c>
      <c r="AF8" s="7"/>
      <c r="AG8" s="7"/>
      <c r="AH8" s="11" t="e">
        <f t="shared" si="14"/>
        <v>#DIV/0!</v>
      </c>
      <c r="AI8" s="11" t="e">
        <f t="shared" si="15"/>
        <v>#DIV/0!</v>
      </c>
      <c r="AJ8" s="7"/>
      <c r="AK8" s="7"/>
      <c r="AL8" s="11" t="e">
        <f t="shared" si="16"/>
        <v>#DIV/0!</v>
      </c>
      <c r="AM8" s="11" t="e">
        <f t="shared" si="17"/>
        <v>#DIV/0!</v>
      </c>
      <c r="AN8" s="20"/>
      <c r="AO8" s="7"/>
      <c r="AP8" s="11" t="e">
        <f t="shared" si="18"/>
        <v>#DIV/0!</v>
      </c>
      <c r="AQ8" s="11" t="e">
        <f t="shared" si="19"/>
        <v>#DIV/0!</v>
      </c>
      <c r="AR8" s="7"/>
      <c r="AS8" s="7"/>
      <c r="AT8" s="11" t="e">
        <f t="shared" si="20"/>
        <v>#DIV/0!</v>
      </c>
      <c r="AU8" s="11" t="e">
        <f t="shared" si="21"/>
        <v>#DIV/0!</v>
      </c>
      <c r="AV8" s="20"/>
      <c r="AW8" s="20"/>
      <c r="AX8" s="11" t="e">
        <f t="shared" si="22"/>
        <v>#DIV/0!</v>
      </c>
      <c r="AY8" s="11" t="e">
        <f t="shared" si="23"/>
        <v>#DIV/0!</v>
      </c>
      <c r="AZ8" s="19">
        <f t="shared" si="24"/>
        <v>0</v>
      </c>
      <c r="BA8" s="11" t="e">
        <f t="shared" si="25"/>
        <v>#DIV/0!</v>
      </c>
      <c r="BB8" s="11" t="e">
        <f t="shared" si="26"/>
        <v>#DIV/0!</v>
      </c>
    </row>
    <row r="9" spans="2:54" x14ac:dyDescent="0.35">
      <c r="B9" s="3">
        <f t="shared" ref="B9:B22" si="27">B8+1</f>
        <v>3</v>
      </c>
      <c r="C9" s="3" t="s">
        <v>18</v>
      </c>
      <c r="D9" s="7">
        <v>1</v>
      </c>
      <c r="E9" s="7">
        <v>8756986</v>
      </c>
      <c r="F9" s="11">
        <f t="shared" si="0"/>
        <v>3.3333333333333333E-2</v>
      </c>
      <c r="G9" s="11">
        <f t="shared" si="1"/>
        <v>3.6638166503892872E-2</v>
      </c>
      <c r="H9" s="7">
        <v>1</v>
      </c>
      <c r="I9" s="7">
        <v>7995211</v>
      </c>
      <c r="J9" s="11">
        <f t="shared" si="2"/>
        <v>3.5714285714285712E-2</v>
      </c>
      <c r="K9" s="11">
        <f t="shared" si="3"/>
        <v>3.5923519690244363E-2</v>
      </c>
      <c r="L9" s="20">
        <v>1</v>
      </c>
      <c r="M9" s="7">
        <v>9093348</v>
      </c>
      <c r="N9" s="11">
        <f t="shared" si="4"/>
        <v>3.5714285714285712E-2</v>
      </c>
      <c r="O9" s="11">
        <f t="shared" si="5"/>
        <v>4.0077655385840037E-2</v>
      </c>
      <c r="P9" s="20"/>
      <c r="Q9" s="7"/>
      <c r="R9" s="11" t="e">
        <f t="shared" si="6"/>
        <v>#DIV/0!</v>
      </c>
      <c r="S9" s="11" t="e">
        <f t="shared" si="7"/>
        <v>#DIV/0!</v>
      </c>
      <c r="T9" s="20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20"/>
      <c r="AC9" s="7"/>
      <c r="AD9" s="11" t="e">
        <f t="shared" si="12"/>
        <v>#DIV/0!</v>
      </c>
      <c r="AE9" s="11" t="e">
        <f t="shared" si="13"/>
        <v>#DIV/0!</v>
      </c>
      <c r="AF9" s="20"/>
      <c r="AG9" s="7"/>
      <c r="AH9" s="11" t="e">
        <f t="shared" si="14"/>
        <v>#DIV/0!</v>
      </c>
      <c r="AI9" s="11" t="e">
        <f t="shared" si="15"/>
        <v>#DIV/0!</v>
      </c>
      <c r="AJ9" s="7"/>
      <c r="AK9" s="7"/>
      <c r="AL9" s="11" t="e">
        <f t="shared" si="16"/>
        <v>#DIV/0!</v>
      </c>
      <c r="AM9" s="11" t="e">
        <f t="shared" si="17"/>
        <v>#DIV/0!</v>
      </c>
      <c r="AN9" s="7"/>
      <c r="AO9" s="7"/>
      <c r="AP9" s="11" t="e">
        <f t="shared" si="18"/>
        <v>#DIV/0!</v>
      </c>
      <c r="AQ9" s="11" t="e">
        <f t="shared" si="19"/>
        <v>#DIV/0!</v>
      </c>
      <c r="AR9" s="7"/>
      <c r="AS9" s="7"/>
      <c r="AT9" s="11" t="e">
        <f t="shared" si="20"/>
        <v>#DIV/0!</v>
      </c>
      <c r="AU9" s="11" t="e">
        <f t="shared" si="21"/>
        <v>#DIV/0!</v>
      </c>
      <c r="AV9" s="20"/>
      <c r="AW9" s="20"/>
      <c r="AX9" s="11" t="e">
        <f t="shared" si="22"/>
        <v>#DIV/0!</v>
      </c>
      <c r="AY9" s="11" t="e">
        <f t="shared" si="23"/>
        <v>#DIV/0!</v>
      </c>
      <c r="AZ9" s="19">
        <f t="shared" si="24"/>
        <v>25845545</v>
      </c>
      <c r="BA9" s="11" t="e">
        <f t="shared" si="25"/>
        <v>#DIV/0!</v>
      </c>
      <c r="BB9" s="11" t="e">
        <f t="shared" si="26"/>
        <v>#DIV/0!</v>
      </c>
    </row>
    <row r="10" spans="2:54" x14ac:dyDescent="0.35">
      <c r="B10" s="3">
        <f t="shared" si="27"/>
        <v>4</v>
      </c>
      <c r="C10" s="3" t="s">
        <v>19</v>
      </c>
      <c r="D10" s="7">
        <v>2</v>
      </c>
      <c r="E10" s="7">
        <v>16356932</v>
      </c>
      <c r="F10" s="11">
        <f t="shared" si="0"/>
        <v>6.6666666666666666E-2</v>
      </c>
      <c r="G10" s="11">
        <f t="shared" si="1"/>
        <v>6.8435418088923908E-2</v>
      </c>
      <c r="H10" s="7">
        <v>1</v>
      </c>
      <c r="I10" s="7">
        <v>9213684</v>
      </c>
      <c r="J10" s="11">
        <f t="shared" si="2"/>
        <v>3.5714285714285712E-2</v>
      </c>
      <c r="K10" s="11">
        <f t="shared" si="3"/>
        <v>4.1398276867701103E-2</v>
      </c>
      <c r="L10" s="7">
        <v>1</v>
      </c>
      <c r="M10" s="7">
        <v>8298452</v>
      </c>
      <c r="N10" s="11">
        <f t="shared" si="4"/>
        <v>3.5714285714285712E-2</v>
      </c>
      <c r="O10" s="11">
        <f t="shared" si="5"/>
        <v>3.6574262800888629E-2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20"/>
      <c r="Y10" s="7"/>
      <c r="Z10" s="11" t="e">
        <f t="shared" si="10"/>
        <v>#DIV/0!</v>
      </c>
      <c r="AA10" s="11" t="e">
        <f t="shared" si="11"/>
        <v>#DIV/0!</v>
      </c>
      <c r="AB10" s="20"/>
      <c r="AC10" s="7"/>
      <c r="AD10" s="11" t="e">
        <f t="shared" si="12"/>
        <v>#DIV/0!</v>
      </c>
      <c r="AE10" s="11" t="e">
        <f t="shared" si="13"/>
        <v>#DIV/0!</v>
      </c>
      <c r="AF10" s="20"/>
      <c r="AG10" s="7"/>
      <c r="AH10" s="11" t="e">
        <f t="shared" si="14"/>
        <v>#DIV/0!</v>
      </c>
      <c r="AI10" s="11" t="e">
        <f t="shared" si="15"/>
        <v>#DIV/0!</v>
      </c>
      <c r="AJ10" s="7"/>
      <c r="AK10" s="7"/>
      <c r="AL10" s="11" t="e">
        <f t="shared" si="16"/>
        <v>#DIV/0!</v>
      </c>
      <c r="AM10" s="11" t="e">
        <f t="shared" si="17"/>
        <v>#DIV/0!</v>
      </c>
      <c r="AN10" s="7"/>
      <c r="AO10" s="7"/>
      <c r="AP10" s="11" t="e">
        <f t="shared" si="18"/>
        <v>#DIV/0!</v>
      </c>
      <c r="AQ10" s="11" t="e">
        <f t="shared" si="19"/>
        <v>#DIV/0!</v>
      </c>
      <c r="AR10" s="7"/>
      <c r="AS10" s="7"/>
      <c r="AT10" s="11" t="e">
        <f t="shared" si="20"/>
        <v>#DIV/0!</v>
      </c>
      <c r="AU10" s="11" t="e">
        <f t="shared" si="21"/>
        <v>#DIV/0!</v>
      </c>
      <c r="AV10" s="20"/>
      <c r="AW10" s="20"/>
      <c r="AX10" s="11" t="e">
        <f t="shared" si="22"/>
        <v>#DIV/0!</v>
      </c>
      <c r="AY10" s="11" t="e">
        <f t="shared" si="23"/>
        <v>#DIV/0!</v>
      </c>
      <c r="AZ10" s="19">
        <f t="shared" si="24"/>
        <v>33869068</v>
      </c>
      <c r="BA10" s="11" t="e">
        <f t="shared" si="25"/>
        <v>#DIV/0!</v>
      </c>
      <c r="BB10" s="11" t="e">
        <f t="shared" si="26"/>
        <v>#DIV/0!</v>
      </c>
    </row>
    <row r="11" spans="2:54" x14ac:dyDescent="0.35">
      <c r="B11" s="3">
        <f t="shared" si="27"/>
        <v>5</v>
      </c>
      <c r="C11" s="3" t="s">
        <v>20</v>
      </c>
      <c r="D11" s="7">
        <v>2</v>
      </c>
      <c r="E11" s="7">
        <v>14037572</v>
      </c>
      <c r="F11" s="11">
        <f t="shared" si="0"/>
        <v>6.6666666666666666E-2</v>
      </c>
      <c r="G11" s="11">
        <f t="shared" si="1"/>
        <v>5.8731497372084919E-2</v>
      </c>
      <c r="H11" s="7">
        <v>2</v>
      </c>
      <c r="I11" s="7">
        <v>14683271</v>
      </c>
      <c r="J11" s="11">
        <f t="shared" si="2"/>
        <v>7.1428571428571425E-2</v>
      </c>
      <c r="K11" s="11">
        <f t="shared" si="3"/>
        <v>6.5973840450951698E-2</v>
      </c>
      <c r="L11" s="7">
        <v>2</v>
      </c>
      <c r="M11" s="7">
        <v>15098021</v>
      </c>
      <c r="N11" s="11">
        <f t="shared" si="4"/>
        <v>7.1428571428571425E-2</v>
      </c>
      <c r="O11" s="11">
        <f t="shared" si="5"/>
        <v>6.6542409093567734E-2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20"/>
      <c r="Y11" s="7"/>
      <c r="Z11" s="11" t="e">
        <f t="shared" si="10"/>
        <v>#DIV/0!</v>
      </c>
      <c r="AA11" s="11" t="e">
        <f t="shared" si="11"/>
        <v>#DIV/0!</v>
      </c>
      <c r="AB11" s="20"/>
      <c r="AC11" s="7"/>
      <c r="AD11" s="11" t="e">
        <f t="shared" si="12"/>
        <v>#DIV/0!</v>
      </c>
      <c r="AE11" s="11" t="e">
        <f t="shared" si="13"/>
        <v>#DIV/0!</v>
      </c>
      <c r="AF11" s="20"/>
      <c r="AG11" s="7"/>
      <c r="AH11" s="11" t="e">
        <f t="shared" si="14"/>
        <v>#DIV/0!</v>
      </c>
      <c r="AI11" s="11" t="e">
        <f t="shared" si="15"/>
        <v>#DIV/0!</v>
      </c>
      <c r="AJ11" s="7"/>
      <c r="AK11" s="7"/>
      <c r="AL11" s="11" t="e">
        <f t="shared" si="16"/>
        <v>#DIV/0!</v>
      </c>
      <c r="AM11" s="11" t="e">
        <f t="shared" si="17"/>
        <v>#DIV/0!</v>
      </c>
      <c r="AN11" s="7"/>
      <c r="AO11" s="7"/>
      <c r="AP11" s="11" t="e">
        <f t="shared" si="18"/>
        <v>#DIV/0!</v>
      </c>
      <c r="AQ11" s="11" t="e">
        <f t="shared" si="19"/>
        <v>#DIV/0!</v>
      </c>
      <c r="AR11" s="7"/>
      <c r="AS11" s="7"/>
      <c r="AT11" s="11" t="e">
        <f t="shared" si="20"/>
        <v>#DIV/0!</v>
      </c>
      <c r="AU11" s="11" t="e">
        <f t="shared" si="21"/>
        <v>#DIV/0!</v>
      </c>
      <c r="AV11" s="20"/>
      <c r="AW11" s="20"/>
      <c r="AX11" s="11" t="e">
        <f t="shared" si="22"/>
        <v>#DIV/0!</v>
      </c>
      <c r="AY11" s="11" t="e">
        <f t="shared" si="23"/>
        <v>#DIV/0!</v>
      </c>
      <c r="AZ11" s="19">
        <f t="shared" si="24"/>
        <v>43818864</v>
      </c>
      <c r="BA11" s="11" t="e">
        <f t="shared" si="25"/>
        <v>#DIV/0!</v>
      </c>
      <c r="BB11" s="11" t="e">
        <f t="shared" si="26"/>
        <v>#DIV/0!</v>
      </c>
    </row>
    <row r="12" spans="2:54" x14ac:dyDescent="0.35">
      <c r="B12" s="3">
        <f t="shared" si="27"/>
        <v>6</v>
      </c>
      <c r="C12" s="3" t="s">
        <v>65</v>
      </c>
      <c r="D12" s="7">
        <v>5</v>
      </c>
      <c r="E12" s="7">
        <v>39098001</v>
      </c>
      <c r="F12" s="11">
        <f t="shared" si="0"/>
        <v>0.16666666666666666</v>
      </c>
      <c r="G12" s="11">
        <f t="shared" si="1"/>
        <v>0.16358129048137909</v>
      </c>
      <c r="H12" s="7">
        <v>4</v>
      </c>
      <c r="I12" s="7">
        <v>33926798</v>
      </c>
      <c r="J12" s="11">
        <f t="shared" si="2"/>
        <v>0.14285714285714285</v>
      </c>
      <c r="K12" s="11">
        <f t="shared" si="3"/>
        <v>0.1524375023973655</v>
      </c>
      <c r="L12" s="7">
        <v>4</v>
      </c>
      <c r="M12" s="7">
        <v>31097024</v>
      </c>
      <c r="N12" s="11">
        <f t="shared" si="4"/>
        <v>0.14285714285714285</v>
      </c>
      <c r="O12" s="11">
        <f t="shared" si="5"/>
        <v>0.13705576993173435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20"/>
      <c r="Y12" s="7"/>
      <c r="Z12" s="11" t="e">
        <f t="shared" si="10"/>
        <v>#DIV/0!</v>
      </c>
      <c r="AA12" s="11" t="e">
        <f t="shared" si="11"/>
        <v>#DIV/0!</v>
      </c>
      <c r="AB12" s="20"/>
      <c r="AC12" s="7"/>
      <c r="AD12" s="11" t="e">
        <f t="shared" si="12"/>
        <v>#DIV/0!</v>
      </c>
      <c r="AE12" s="11" t="e">
        <f t="shared" si="13"/>
        <v>#DIV/0!</v>
      </c>
      <c r="AF12" s="20"/>
      <c r="AG12" s="7"/>
      <c r="AH12" s="11" t="e">
        <f t="shared" si="14"/>
        <v>#DIV/0!</v>
      </c>
      <c r="AI12" s="11" t="e">
        <f t="shared" si="15"/>
        <v>#DIV/0!</v>
      </c>
      <c r="AJ12" s="7"/>
      <c r="AK12" s="7"/>
      <c r="AL12" s="11" t="e">
        <f t="shared" si="16"/>
        <v>#DIV/0!</v>
      </c>
      <c r="AM12" s="11" t="e">
        <f t="shared" si="17"/>
        <v>#DIV/0!</v>
      </c>
      <c r="AN12" s="7"/>
      <c r="AO12" s="7"/>
      <c r="AP12" s="11" t="e">
        <f t="shared" si="18"/>
        <v>#DIV/0!</v>
      </c>
      <c r="AQ12" s="11" t="e">
        <f t="shared" si="19"/>
        <v>#DIV/0!</v>
      </c>
      <c r="AR12" s="7"/>
      <c r="AS12" s="7"/>
      <c r="AT12" s="11" t="e">
        <f t="shared" si="20"/>
        <v>#DIV/0!</v>
      </c>
      <c r="AU12" s="11" t="e">
        <f t="shared" si="21"/>
        <v>#DIV/0!</v>
      </c>
      <c r="AV12" s="20"/>
      <c r="AW12" s="20"/>
      <c r="AX12" s="11" t="e">
        <f t="shared" si="22"/>
        <v>#DIV/0!</v>
      </c>
      <c r="AY12" s="11" t="e">
        <f t="shared" si="23"/>
        <v>#DIV/0!</v>
      </c>
      <c r="AZ12" s="19">
        <f t="shared" si="24"/>
        <v>104121823</v>
      </c>
      <c r="BA12" s="11" t="e">
        <f t="shared" si="25"/>
        <v>#DIV/0!</v>
      </c>
      <c r="BB12" s="11" t="e">
        <f t="shared" si="26"/>
        <v>#DIV/0!</v>
      </c>
    </row>
    <row r="13" spans="2:54" x14ac:dyDescent="0.35">
      <c r="B13" s="3">
        <f>B12+1</f>
        <v>7</v>
      </c>
      <c r="C13" s="3" t="s">
        <v>39</v>
      </c>
      <c r="D13" s="7">
        <v>6</v>
      </c>
      <c r="E13" s="7">
        <v>55300625</v>
      </c>
      <c r="F13" s="11">
        <f t="shared" si="0"/>
        <v>0.2</v>
      </c>
      <c r="G13" s="11">
        <f t="shared" si="1"/>
        <v>0.23137110262815774</v>
      </c>
      <c r="H13" s="7">
        <v>6</v>
      </c>
      <c r="I13" s="7">
        <v>43691205</v>
      </c>
      <c r="J13" s="11">
        <f t="shared" si="2"/>
        <v>0.21428571428571427</v>
      </c>
      <c r="K13" s="11">
        <f t="shared" si="3"/>
        <v>0.19631024911137465</v>
      </c>
      <c r="L13" s="7">
        <v>6</v>
      </c>
      <c r="M13" s="7">
        <v>50050373</v>
      </c>
      <c r="N13" s="11">
        <f t="shared" si="4"/>
        <v>0.21428571428571427</v>
      </c>
      <c r="O13" s="11">
        <f t="shared" si="5"/>
        <v>0.22058999622875453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20"/>
      <c r="Y13" s="7"/>
      <c r="Z13" s="11" t="e">
        <f t="shared" si="10"/>
        <v>#DIV/0!</v>
      </c>
      <c r="AA13" s="11" t="e">
        <f t="shared" si="11"/>
        <v>#DIV/0!</v>
      </c>
      <c r="AB13" s="20"/>
      <c r="AC13" s="7"/>
      <c r="AD13" s="11" t="e">
        <f t="shared" si="12"/>
        <v>#DIV/0!</v>
      </c>
      <c r="AE13" s="11" t="e">
        <f t="shared" si="13"/>
        <v>#DIV/0!</v>
      </c>
      <c r="AF13" s="20"/>
      <c r="AG13" s="7"/>
      <c r="AH13" s="11" t="e">
        <f t="shared" si="14"/>
        <v>#DIV/0!</v>
      </c>
      <c r="AI13" s="11" t="e">
        <f t="shared" si="15"/>
        <v>#DIV/0!</v>
      </c>
      <c r="AJ13" s="7"/>
      <c r="AK13" s="7"/>
      <c r="AL13" s="11" t="e">
        <f t="shared" si="16"/>
        <v>#DIV/0!</v>
      </c>
      <c r="AM13" s="11" t="e">
        <f t="shared" si="17"/>
        <v>#DIV/0!</v>
      </c>
      <c r="AN13" s="7"/>
      <c r="AO13" s="7"/>
      <c r="AP13" s="11" t="e">
        <f t="shared" si="18"/>
        <v>#DIV/0!</v>
      </c>
      <c r="AQ13" s="11" t="e">
        <f t="shared" si="19"/>
        <v>#DIV/0!</v>
      </c>
      <c r="AR13" s="7"/>
      <c r="AS13" s="7"/>
      <c r="AT13" s="11" t="e">
        <f t="shared" si="20"/>
        <v>#DIV/0!</v>
      </c>
      <c r="AU13" s="11" t="e">
        <f t="shared" si="21"/>
        <v>#DIV/0!</v>
      </c>
      <c r="AV13" s="20"/>
      <c r="AW13" s="20"/>
      <c r="AX13" s="11" t="e">
        <f t="shared" si="22"/>
        <v>#DIV/0!</v>
      </c>
      <c r="AY13" s="11" t="e">
        <f t="shared" si="23"/>
        <v>#DIV/0!</v>
      </c>
      <c r="AZ13" s="19">
        <f t="shared" si="24"/>
        <v>149042203</v>
      </c>
      <c r="BA13" s="11" t="e">
        <f t="shared" si="25"/>
        <v>#DIV/0!</v>
      </c>
      <c r="BB13" s="11" t="e">
        <f t="shared" si="26"/>
        <v>#DIV/0!</v>
      </c>
    </row>
    <row r="14" spans="2:54" x14ac:dyDescent="0.35">
      <c r="B14" s="3">
        <f>B13+1</f>
        <v>8</v>
      </c>
      <c r="C14" s="3" t="s">
        <v>21</v>
      </c>
      <c r="D14" s="7"/>
      <c r="E14" s="7"/>
      <c r="F14" s="11">
        <f t="shared" si="0"/>
        <v>0</v>
      </c>
      <c r="G14" s="11">
        <f t="shared" si="1"/>
        <v>0</v>
      </c>
      <c r="H14" s="7"/>
      <c r="I14" s="7"/>
      <c r="J14" s="11">
        <f t="shared" si="2"/>
        <v>0</v>
      </c>
      <c r="K14" s="11">
        <f t="shared" si="3"/>
        <v>0</v>
      </c>
      <c r="L14" s="7"/>
      <c r="M14" s="7"/>
      <c r="N14" s="11">
        <f t="shared" si="4"/>
        <v>0</v>
      </c>
      <c r="O14" s="11">
        <f t="shared" si="5"/>
        <v>0</v>
      </c>
      <c r="P14" s="7"/>
      <c r="Q14" s="7"/>
      <c r="R14" s="11" t="e">
        <f t="shared" si="6"/>
        <v>#DIV/0!</v>
      </c>
      <c r="S14" s="11" t="e">
        <f t="shared" si="7"/>
        <v>#DIV/0!</v>
      </c>
      <c r="T14" s="7"/>
      <c r="U14" s="7"/>
      <c r="V14" s="11" t="e">
        <f t="shared" si="8"/>
        <v>#DIV/0!</v>
      </c>
      <c r="W14" s="11" t="e">
        <f t="shared" si="9"/>
        <v>#DIV/0!</v>
      </c>
      <c r="X14" s="20"/>
      <c r="Y14" s="7"/>
      <c r="Z14" s="11" t="e">
        <f t="shared" si="10"/>
        <v>#DIV/0!</v>
      </c>
      <c r="AA14" s="11" t="e">
        <f t="shared" si="11"/>
        <v>#DIV/0!</v>
      </c>
      <c r="AB14" s="20"/>
      <c r="AC14" s="7"/>
      <c r="AD14" s="11" t="e">
        <f t="shared" si="12"/>
        <v>#DIV/0!</v>
      </c>
      <c r="AE14" s="11" t="e">
        <f t="shared" si="13"/>
        <v>#DIV/0!</v>
      </c>
      <c r="AF14" s="20"/>
      <c r="AG14" s="7"/>
      <c r="AH14" s="11" t="e">
        <f t="shared" si="14"/>
        <v>#DIV/0!</v>
      </c>
      <c r="AI14" s="11" t="e">
        <f t="shared" si="15"/>
        <v>#DIV/0!</v>
      </c>
      <c r="AJ14" s="7"/>
      <c r="AK14" s="7"/>
      <c r="AL14" s="11" t="e">
        <f t="shared" si="16"/>
        <v>#DIV/0!</v>
      </c>
      <c r="AM14" s="11" t="e">
        <f t="shared" si="17"/>
        <v>#DIV/0!</v>
      </c>
      <c r="AN14" s="7"/>
      <c r="AO14" s="7"/>
      <c r="AP14" s="11" t="e">
        <f t="shared" si="18"/>
        <v>#DIV/0!</v>
      </c>
      <c r="AQ14" s="11" t="e">
        <f t="shared" si="19"/>
        <v>#DIV/0!</v>
      </c>
      <c r="AR14" s="7"/>
      <c r="AS14" s="7"/>
      <c r="AT14" s="11" t="e">
        <f t="shared" si="20"/>
        <v>#DIV/0!</v>
      </c>
      <c r="AU14" s="11" t="e">
        <f t="shared" si="21"/>
        <v>#DIV/0!</v>
      </c>
      <c r="AV14" s="20"/>
      <c r="AW14" s="20"/>
      <c r="AX14" s="11" t="e">
        <f t="shared" si="22"/>
        <v>#DIV/0!</v>
      </c>
      <c r="AY14" s="11" t="e">
        <f t="shared" si="23"/>
        <v>#DIV/0!</v>
      </c>
      <c r="AZ14" s="19">
        <f t="shared" si="24"/>
        <v>0</v>
      </c>
      <c r="BA14" s="11" t="e">
        <f t="shared" si="25"/>
        <v>#DIV/0!</v>
      </c>
      <c r="BB14" s="11" t="e">
        <f t="shared" si="26"/>
        <v>#DIV/0!</v>
      </c>
    </row>
    <row r="15" spans="2:54" x14ac:dyDescent="0.35">
      <c r="B15" s="3">
        <f t="shared" si="27"/>
        <v>9</v>
      </c>
      <c r="C15" s="3" t="s">
        <v>22</v>
      </c>
      <c r="D15" s="7">
        <v>1</v>
      </c>
      <c r="E15" s="7">
        <v>8511771</v>
      </c>
      <c r="F15" s="11">
        <f t="shared" si="0"/>
        <v>3.3333333333333333E-2</v>
      </c>
      <c r="G15" s="11">
        <f t="shared" si="1"/>
        <v>3.561221670800966E-2</v>
      </c>
      <c r="H15" s="7">
        <v>1</v>
      </c>
      <c r="I15" s="7">
        <v>9253184</v>
      </c>
      <c r="J15" s="11">
        <f t="shared" si="2"/>
        <v>3.5714285714285712E-2</v>
      </c>
      <c r="K15" s="11">
        <f t="shared" si="3"/>
        <v>4.1575755489311549E-2</v>
      </c>
      <c r="L15" s="7">
        <v>1</v>
      </c>
      <c r="M15" s="7">
        <v>7950685</v>
      </c>
      <c r="N15" s="11">
        <f t="shared" si="4"/>
        <v>3.5714285714285712E-2</v>
      </c>
      <c r="O15" s="11">
        <f t="shared" si="5"/>
        <v>3.5041528544972389E-2</v>
      </c>
      <c r="P15" s="7"/>
      <c r="Q15" s="7"/>
      <c r="R15" s="11" t="e">
        <f t="shared" si="6"/>
        <v>#DIV/0!</v>
      </c>
      <c r="S15" s="11" t="e">
        <f t="shared" si="7"/>
        <v>#DIV/0!</v>
      </c>
      <c r="T15" s="7"/>
      <c r="U15" s="7"/>
      <c r="V15" s="11" t="e">
        <f t="shared" si="8"/>
        <v>#DIV/0!</v>
      </c>
      <c r="W15" s="11" t="e">
        <f t="shared" si="9"/>
        <v>#DIV/0!</v>
      </c>
      <c r="X15" s="20"/>
      <c r="Y15" s="7"/>
      <c r="Z15" s="11" t="e">
        <f t="shared" si="10"/>
        <v>#DIV/0!</v>
      </c>
      <c r="AA15" s="11" t="e">
        <f t="shared" si="11"/>
        <v>#DIV/0!</v>
      </c>
      <c r="AB15" s="20"/>
      <c r="AC15" s="7"/>
      <c r="AD15" s="11" t="e">
        <f t="shared" si="12"/>
        <v>#DIV/0!</v>
      </c>
      <c r="AE15" s="11" t="e">
        <f t="shared" si="13"/>
        <v>#DIV/0!</v>
      </c>
      <c r="AF15" s="20"/>
      <c r="AG15" s="7"/>
      <c r="AH15" s="11" t="e">
        <f t="shared" si="14"/>
        <v>#DIV/0!</v>
      </c>
      <c r="AI15" s="11" t="e">
        <f t="shared" si="15"/>
        <v>#DIV/0!</v>
      </c>
      <c r="AJ15" s="7"/>
      <c r="AK15" s="7"/>
      <c r="AL15" s="11" t="e">
        <f t="shared" si="16"/>
        <v>#DIV/0!</v>
      </c>
      <c r="AM15" s="11" t="e">
        <f t="shared" si="17"/>
        <v>#DIV/0!</v>
      </c>
      <c r="AN15" s="7"/>
      <c r="AO15" s="7"/>
      <c r="AP15" s="11" t="e">
        <f t="shared" si="18"/>
        <v>#DIV/0!</v>
      </c>
      <c r="AQ15" s="11" t="e">
        <f t="shared" si="19"/>
        <v>#DIV/0!</v>
      </c>
      <c r="AR15" s="7"/>
      <c r="AS15" s="7"/>
      <c r="AT15" s="11" t="e">
        <f t="shared" si="20"/>
        <v>#DIV/0!</v>
      </c>
      <c r="AU15" s="11" t="e">
        <f t="shared" si="21"/>
        <v>#DIV/0!</v>
      </c>
      <c r="AV15" s="20"/>
      <c r="AW15" s="20"/>
      <c r="AX15" s="11" t="e">
        <f t="shared" si="22"/>
        <v>#DIV/0!</v>
      </c>
      <c r="AY15" s="11" t="e">
        <f t="shared" si="23"/>
        <v>#DIV/0!</v>
      </c>
      <c r="AZ15" s="19">
        <f t="shared" si="24"/>
        <v>25715640</v>
      </c>
      <c r="BA15" s="11" t="e">
        <f t="shared" si="25"/>
        <v>#DIV/0!</v>
      </c>
      <c r="BB15" s="11" t="e">
        <f t="shared" si="26"/>
        <v>#DIV/0!</v>
      </c>
    </row>
    <row r="16" spans="2:54" x14ac:dyDescent="0.35">
      <c r="B16" s="3">
        <f t="shared" si="27"/>
        <v>10</v>
      </c>
      <c r="C16" s="3" t="s">
        <v>29</v>
      </c>
      <c r="D16" s="7"/>
      <c r="E16" s="7"/>
      <c r="F16" s="11">
        <f t="shared" si="0"/>
        <v>0</v>
      </c>
      <c r="G16" s="11">
        <f t="shared" si="1"/>
        <v>0</v>
      </c>
      <c r="H16" s="7"/>
      <c r="I16" s="7"/>
      <c r="J16" s="11">
        <f t="shared" si="2"/>
        <v>0</v>
      </c>
      <c r="K16" s="11">
        <f t="shared" si="3"/>
        <v>0</v>
      </c>
      <c r="L16" s="7"/>
      <c r="M16" s="7"/>
      <c r="N16" s="11">
        <f t="shared" si="4"/>
        <v>0</v>
      </c>
      <c r="O16" s="11">
        <f t="shared" si="5"/>
        <v>0</v>
      </c>
      <c r="P16" s="7"/>
      <c r="Q16" s="7"/>
      <c r="R16" s="11" t="e">
        <f t="shared" si="6"/>
        <v>#DIV/0!</v>
      </c>
      <c r="S16" s="11" t="e">
        <f t="shared" si="7"/>
        <v>#DIV/0!</v>
      </c>
      <c r="T16" s="7"/>
      <c r="U16" s="7"/>
      <c r="V16" s="11" t="e">
        <f t="shared" si="8"/>
        <v>#DIV/0!</v>
      </c>
      <c r="W16" s="11" t="e">
        <f t="shared" si="9"/>
        <v>#DIV/0!</v>
      </c>
      <c r="X16" s="20"/>
      <c r="Y16" s="7"/>
      <c r="Z16" s="11" t="e">
        <f t="shared" si="10"/>
        <v>#DIV/0!</v>
      </c>
      <c r="AA16" s="11" t="e">
        <f t="shared" si="11"/>
        <v>#DIV/0!</v>
      </c>
      <c r="AB16" s="20"/>
      <c r="AC16" s="7"/>
      <c r="AD16" s="11" t="e">
        <f t="shared" si="12"/>
        <v>#DIV/0!</v>
      </c>
      <c r="AE16" s="11" t="e">
        <f t="shared" si="13"/>
        <v>#DIV/0!</v>
      </c>
      <c r="AF16" s="20"/>
      <c r="AG16" s="7"/>
      <c r="AH16" s="11" t="e">
        <f t="shared" si="14"/>
        <v>#DIV/0!</v>
      </c>
      <c r="AI16" s="11" t="e">
        <f t="shared" si="15"/>
        <v>#DIV/0!</v>
      </c>
      <c r="AJ16" s="7"/>
      <c r="AK16" s="7"/>
      <c r="AL16" s="11" t="e">
        <f t="shared" si="16"/>
        <v>#DIV/0!</v>
      </c>
      <c r="AM16" s="11" t="e">
        <f t="shared" si="17"/>
        <v>#DIV/0!</v>
      </c>
      <c r="AN16" s="7"/>
      <c r="AO16" s="7"/>
      <c r="AP16" s="11" t="e">
        <f t="shared" si="18"/>
        <v>#DIV/0!</v>
      </c>
      <c r="AQ16" s="11" t="e">
        <f t="shared" si="19"/>
        <v>#DIV/0!</v>
      </c>
      <c r="AR16" s="7"/>
      <c r="AS16" s="7"/>
      <c r="AT16" s="11" t="e">
        <f t="shared" si="20"/>
        <v>#DIV/0!</v>
      </c>
      <c r="AU16" s="11" t="e">
        <f t="shared" si="21"/>
        <v>#DIV/0!</v>
      </c>
      <c r="AV16" s="20"/>
      <c r="AW16" s="20"/>
      <c r="AX16" s="11" t="e">
        <f t="shared" si="22"/>
        <v>#DIV/0!</v>
      </c>
      <c r="AY16" s="11" t="e">
        <f t="shared" si="23"/>
        <v>#DIV/0!</v>
      </c>
      <c r="AZ16" s="19">
        <f t="shared" si="24"/>
        <v>0</v>
      </c>
      <c r="BA16" s="11" t="e">
        <f t="shared" si="25"/>
        <v>#DIV/0!</v>
      </c>
      <c r="BB16" s="11" t="e">
        <f t="shared" si="26"/>
        <v>#DIV/0!</v>
      </c>
    </row>
    <row r="17" spans="2:54" x14ac:dyDescent="0.35">
      <c r="B17" s="3">
        <f t="shared" si="27"/>
        <v>11</v>
      </c>
      <c r="C17" s="3" t="s">
        <v>40</v>
      </c>
      <c r="D17" s="7">
        <v>2</v>
      </c>
      <c r="E17" s="7">
        <v>13712698</v>
      </c>
      <c r="F17" s="11">
        <f t="shared" si="0"/>
        <v>6.6666666666666666E-2</v>
      </c>
      <c r="G17" s="11">
        <f t="shared" si="1"/>
        <v>5.7372263989185178E-2</v>
      </c>
      <c r="H17" s="7">
        <v>2</v>
      </c>
      <c r="I17" s="7">
        <v>13730942</v>
      </c>
      <c r="J17" s="11">
        <f t="shared" si="2"/>
        <v>7.1428571428571425E-2</v>
      </c>
      <c r="K17" s="11">
        <f t="shared" si="3"/>
        <v>6.1694902773998493E-2</v>
      </c>
      <c r="L17" s="7">
        <v>2</v>
      </c>
      <c r="M17" s="7">
        <v>13989198</v>
      </c>
      <c r="N17" s="11">
        <f t="shared" si="4"/>
        <v>7.1428571428571425E-2</v>
      </c>
      <c r="O17" s="11">
        <f t="shared" si="5"/>
        <v>6.1655427304473848E-2</v>
      </c>
      <c r="P17" s="7"/>
      <c r="Q17" s="7"/>
      <c r="R17" s="11" t="e">
        <f t="shared" si="6"/>
        <v>#DIV/0!</v>
      </c>
      <c r="S17" s="11" t="e">
        <f t="shared" si="7"/>
        <v>#DIV/0!</v>
      </c>
      <c r="T17" s="7"/>
      <c r="U17" s="7"/>
      <c r="V17" s="11" t="e">
        <f t="shared" si="8"/>
        <v>#DIV/0!</v>
      </c>
      <c r="W17" s="11" t="e">
        <f t="shared" si="9"/>
        <v>#DIV/0!</v>
      </c>
      <c r="X17" s="20"/>
      <c r="Y17" s="7"/>
      <c r="Z17" s="11" t="e">
        <f t="shared" si="10"/>
        <v>#DIV/0!</v>
      </c>
      <c r="AA17" s="11" t="e">
        <f t="shared" si="11"/>
        <v>#DIV/0!</v>
      </c>
      <c r="AB17" s="20"/>
      <c r="AC17" s="7"/>
      <c r="AD17" s="11" t="e">
        <f t="shared" si="12"/>
        <v>#DIV/0!</v>
      </c>
      <c r="AE17" s="11" t="e">
        <f t="shared" si="13"/>
        <v>#DIV/0!</v>
      </c>
      <c r="AF17" s="20"/>
      <c r="AG17" s="7"/>
      <c r="AH17" s="11" t="e">
        <f t="shared" si="14"/>
        <v>#DIV/0!</v>
      </c>
      <c r="AI17" s="11" t="e">
        <f t="shared" si="15"/>
        <v>#DIV/0!</v>
      </c>
      <c r="AJ17" s="7"/>
      <c r="AK17" s="7"/>
      <c r="AL17" s="11" t="e">
        <f t="shared" si="16"/>
        <v>#DIV/0!</v>
      </c>
      <c r="AM17" s="11" t="e">
        <f t="shared" si="17"/>
        <v>#DIV/0!</v>
      </c>
      <c r="AN17" s="7"/>
      <c r="AO17" s="7"/>
      <c r="AP17" s="11" t="e">
        <f t="shared" si="18"/>
        <v>#DIV/0!</v>
      </c>
      <c r="AQ17" s="11" t="e">
        <f t="shared" si="19"/>
        <v>#DIV/0!</v>
      </c>
      <c r="AR17" s="7"/>
      <c r="AS17" s="7"/>
      <c r="AT17" s="11" t="e">
        <f t="shared" si="20"/>
        <v>#DIV/0!</v>
      </c>
      <c r="AU17" s="11" t="e">
        <f t="shared" si="21"/>
        <v>#DIV/0!</v>
      </c>
      <c r="AV17" s="20"/>
      <c r="AW17" s="20"/>
      <c r="AX17" s="11" t="e">
        <f t="shared" si="22"/>
        <v>#DIV/0!</v>
      </c>
      <c r="AY17" s="11" t="e">
        <f t="shared" si="23"/>
        <v>#DIV/0!</v>
      </c>
      <c r="AZ17" s="19">
        <f t="shared" si="24"/>
        <v>41432838</v>
      </c>
      <c r="BA17" s="11" t="e">
        <f t="shared" si="25"/>
        <v>#DIV/0!</v>
      </c>
      <c r="BB17" s="11" t="e">
        <f t="shared" si="26"/>
        <v>#DIV/0!</v>
      </c>
    </row>
    <row r="18" spans="2:54" x14ac:dyDescent="0.35">
      <c r="B18" s="3">
        <f t="shared" si="27"/>
        <v>12</v>
      </c>
      <c r="C18" s="3" t="s">
        <v>41</v>
      </c>
      <c r="D18" s="7"/>
      <c r="E18" s="7"/>
      <c r="F18" s="11">
        <f t="shared" si="0"/>
        <v>0</v>
      </c>
      <c r="G18" s="11">
        <f t="shared" si="1"/>
        <v>0</v>
      </c>
      <c r="H18" s="7"/>
      <c r="I18" s="7"/>
      <c r="J18" s="11">
        <f t="shared" si="2"/>
        <v>0</v>
      </c>
      <c r="K18" s="11">
        <f t="shared" si="3"/>
        <v>0</v>
      </c>
      <c r="L18" s="7"/>
      <c r="M18" s="7"/>
      <c r="N18" s="11">
        <f t="shared" si="4"/>
        <v>0</v>
      </c>
      <c r="O18" s="11">
        <f t="shared" si="5"/>
        <v>0</v>
      </c>
      <c r="P18" s="7"/>
      <c r="Q18" s="7"/>
      <c r="R18" s="11" t="e">
        <f t="shared" si="6"/>
        <v>#DIV/0!</v>
      </c>
      <c r="S18" s="11" t="e">
        <f t="shared" si="7"/>
        <v>#DIV/0!</v>
      </c>
      <c r="T18" s="7"/>
      <c r="U18" s="7"/>
      <c r="V18" s="11" t="e">
        <f t="shared" si="8"/>
        <v>#DIV/0!</v>
      </c>
      <c r="W18" s="11" t="e">
        <f t="shared" si="9"/>
        <v>#DIV/0!</v>
      </c>
      <c r="X18" s="20"/>
      <c r="Y18" s="7"/>
      <c r="Z18" s="11" t="e">
        <f t="shared" si="10"/>
        <v>#DIV/0!</v>
      </c>
      <c r="AA18" s="11" t="e">
        <f t="shared" si="11"/>
        <v>#DIV/0!</v>
      </c>
      <c r="AB18" s="20"/>
      <c r="AC18" s="7"/>
      <c r="AD18" s="11" t="e">
        <f t="shared" si="12"/>
        <v>#DIV/0!</v>
      </c>
      <c r="AE18" s="11" t="e">
        <f t="shared" si="13"/>
        <v>#DIV/0!</v>
      </c>
      <c r="AF18" s="20"/>
      <c r="AG18" s="7"/>
      <c r="AH18" s="11" t="e">
        <f t="shared" si="14"/>
        <v>#DIV/0!</v>
      </c>
      <c r="AI18" s="11" t="e">
        <f t="shared" si="15"/>
        <v>#DIV/0!</v>
      </c>
      <c r="AJ18" s="7"/>
      <c r="AK18" s="7"/>
      <c r="AL18" s="11" t="e">
        <f t="shared" si="16"/>
        <v>#DIV/0!</v>
      </c>
      <c r="AM18" s="11" t="e">
        <f t="shared" si="17"/>
        <v>#DIV/0!</v>
      </c>
      <c r="AN18" s="7"/>
      <c r="AO18" s="7"/>
      <c r="AP18" s="11" t="e">
        <f t="shared" si="18"/>
        <v>#DIV/0!</v>
      </c>
      <c r="AQ18" s="11" t="e">
        <f t="shared" si="19"/>
        <v>#DIV/0!</v>
      </c>
      <c r="AR18" s="7"/>
      <c r="AS18" s="7"/>
      <c r="AT18" s="11" t="e">
        <f t="shared" si="20"/>
        <v>#DIV/0!</v>
      </c>
      <c r="AU18" s="11" t="e">
        <f t="shared" si="21"/>
        <v>#DIV/0!</v>
      </c>
      <c r="AV18" s="20"/>
      <c r="AW18" s="20"/>
      <c r="AX18" s="11" t="e">
        <f t="shared" si="22"/>
        <v>#DIV/0!</v>
      </c>
      <c r="AY18" s="11" t="e">
        <f t="shared" si="23"/>
        <v>#DIV/0!</v>
      </c>
      <c r="AZ18" s="19">
        <f t="shared" si="24"/>
        <v>0</v>
      </c>
      <c r="BA18" s="11" t="e">
        <f t="shared" si="25"/>
        <v>#DIV/0!</v>
      </c>
      <c r="BB18" s="11" t="e">
        <f t="shared" si="26"/>
        <v>#DIV/0!</v>
      </c>
    </row>
    <row r="19" spans="2:54" x14ac:dyDescent="0.35">
      <c r="B19" s="3">
        <f t="shared" si="27"/>
        <v>13</v>
      </c>
      <c r="C19" s="3" t="s">
        <v>23</v>
      </c>
      <c r="D19" s="7">
        <v>10</v>
      </c>
      <c r="E19" s="7">
        <v>76654587</v>
      </c>
      <c r="F19" s="11">
        <f t="shared" si="0"/>
        <v>0.33333333333333331</v>
      </c>
      <c r="G19" s="11">
        <f t="shared" si="1"/>
        <v>0.3207134876992086</v>
      </c>
      <c r="H19" s="7">
        <v>10</v>
      </c>
      <c r="I19" s="7">
        <v>83152123</v>
      </c>
      <c r="J19" s="11">
        <f t="shared" si="2"/>
        <v>0.35714285714285715</v>
      </c>
      <c r="K19" s="11">
        <f t="shared" si="3"/>
        <v>0.37361327022840557</v>
      </c>
      <c r="L19" s="7">
        <v>10</v>
      </c>
      <c r="M19" s="7">
        <v>84183263</v>
      </c>
      <c r="N19" s="11">
        <f t="shared" si="4"/>
        <v>0.35714285714285715</v>
      </c>
      <c r="O19" s="11">
        <f t="shared" si="5"/>
        <v>0.371025919580944</v>
      </c>
      <c r="P19" s="7"/>
      <c r="Q19" s="7"/>
      <c r="R19" s="11" t="e">
        <f t="shared" si="6"/>
        <v>#DIV/0!</v>
      </c>
      <c r="S19" s="11" t="e">
        <f t="shared" si="7"/>
        <v>#DIV/0!</v>
      </c>
      <c r="T19" s="7"/>
      <c r="U19" s="7"/>
      <c r="V19" s="11" t="e">
        <f t="shared" si="8"/>
        <v>#DIV/0!</v>
      </c>
      <c r="W19" s="11" t="e">
        <f t="shared" si="9"/>
        <v>#DIV/0!</v>
      </c>
      <c r="X19" s="20"/>
      <c r="Y19" s="7"/>
      <c r="Z19" s="11" t="e">
        <f t="shared" si="10"/>
        <v>#DIV/0!</v>
      </c>
      <c r="AA19" s="11" t="e">
        <f t="shared" si="11"/>
        <v>#DIV/0!</v>
      </c>
      <c r="AB19" s="20"/>
      <c r="AC19" s="7"/>
      <c r="AD19" s="11" t="e">
        <f t="shared" si="12"/>
        <v>#DIV/0!</v>
      </c>
      <c r="AE19" s="11" t="e">
        <f t="shared" si="13"/>
        <v>#DIV/0!</v>
      </c>
      <c r="AF19" s="20"/>
      <c r="AG19" s="7"/>
      <c r="AH19" s="11" t="e">
        <f t="shared" si="14"/>
        <v>#DIV/0!</v>
      </c>
      <c r="AI19" s="11" t="e">
        <f t="shared" si="15"/>
        <v>#DIV/0!</v>
      </c>
      <c r="AJ19" s="7"/>
      <c r="AK19" s="7"/>
      <c r="AL19" s="11" t="e">
        <f t="shared" si="16"/>
        <v>#DIV/0!</v>
      </c>
      <c r="AM19" s="11" t="e">
        <f t="shared" si="17"/>
        <v>#DIV/0!</v>
      </c>
      <c r="AN19" s="7"/>
      <c r="AO19" s="7"/>
      <c r="AP19" s="11" t="e">
        <f t="shared" si="18"/>
        <v>#DIV/0!</v>
      </c>
      <c r="AQ19" s="11" t="e">
        <f t="shared" si="19"/>
        <v>#DIV/0!</v>
      </c>
      <c r="AR19" s="7"/>
      <c r="AS19" s="7"/>
      <c r="AT19" s="11" t="e">
        <f t="shared" si="20"/>
        <v>#DIV/0!</v>
      </c>
      <c r="AU19" s="11" t="e">
        <f t="shared" si="21"/>
        <v>#DIV/0!</v>
      </c>
      <c r="AV19" s="20"/>
      <c r="AW19" s="20"/>
      <c r="AX19" s="11" t="e">
        <f t="shared" si="22"/>
        <v>#DIV/0!</v>
      </c>
      <c r="AY19" s="11" t="e">
        <f t="shared" si="23"/>
        <v>#DIV/0!</v>
      </c>
      <c r="AZ19" s="19">
        <f t="shared" si="24"/>
        <v>243989973</v>
      </c>
      <c r="BA19" s="11" t="e">
        <f t="shared" si="25"/>
        <v>#DIV/0!</v>
      </c>
      <c r="BB19" s="11" t="e">
        <f t="shared" si="26"/>
        <v>#DIV/0!</v>
      </c>
    </row>
    <row r="20" spans="2:54" x14ac:dyDescent="0.35">
      <c r="B20" s="3">
        <f t="shared" si="27"/>
        <v>14</v>
      </c>
      <c r="C20" s="3" t="s">
        <v>24</v>
      </c>
      <c r="D20" s="7"/>
      <c r="E20" s="7"/>
      <c r="F20" s="11">
        <f t="shared" si="0"/>
        <v>0</v>
      </c>
      <c r="G20" s="11">
        <f t="shared" si="1"/>
        <v>0</v>
      </c>
      <c r="H20" s="7"/>
      <c r="I20" s="7"/>
      <c r="J20" s="11">
        <f t="shared" si="2"/>
        <v>0</v>
      </c>
      <c r="K20" s="11">
        <f t="shared" si="3"/>
        <v>0</v>
      </c>
      <c r="L20" s="7"/>
      <c r="M20" s="7"/>
      <c r="N20" s="11">
        <f t="shared" si="4"/>
        <v>0</v>
      </c>
      <c r="O20" s="11">
        <f t="shared" si="5"/>
        <v>0</v>
      </c>
      <c r="P20" s="7"/>
      <c r="Q20" s="7"/>
      <c r="R20" s="11" t="e">
        <f t="shared" si="6"/>
        <v>#DIV/0!</v>
      </c>
      <c r="S20" s="11" t="e">
        <f t="shared" si="7"/>
        <v>#DIV/0!</v>
      </c>
      <c r="T20" s="7"/>
      <c r="U20" s="7"/>
      <c r="V20" s="11" t="e">
        <f t="shared" si="8"/>
        <v>#DIV/0!</v>
      </c>
      <c r="W20" s="11" t="e">
        <f t="shared" si="9"/>
        <v>#DIV/0!</v>
      </c>
      <c r="X20" s="20"/>
      <c r="Y20" s="7"/>
      <c r="Z20" s="11" t="e">
        <f t="shared" si="10"/>
        <v>#DIV/0!</v>
      </c>
      <c r="AA20" s="11" t="e">
        <f t="shared" si="11"/>
        <v>#DIV/0!</v>
      </c>
      <c r="AB20" s="20"/>
      <c r="AC20" s="7"/>
      <c r="AD20" s="11" t="e">
        <f t="shared" si="12"/>
        <v>#DIV/0!</v>
      </c>
      <c r="AE20" s="11" t="e">
        <f t="shared" si="13"/>
        <v>#DIV/0!</v>
      </c>
      <c r="AF20" s="20"/>
      <c r="AG20" s="7"/>
      <c r="AH20" s="11" t="e">
        <f t="shared" si="14"/>
        <v>#DIV/0!</v>
      </c>
      <c r="AI20" s="11" t="e">
        <f t="shared" si="15"/>
        <v>#DIV/0!</v>
      </c>
      <c r="AJ20" s="7"/>
      <c r="AK20" s="7"/>
      <c r="AL20" s="11" t="e">
        <f t="shared" si="16"/>
        <v>#DIV/0!</v>
      </c>
      <c r="AM20" s="11" t="e">
        <f t="shared" si="17"/>
        <v>#DIV/0!</v>
      </c>
      <c r="AN20" s="7"/>
      <c r="AO20" s="7"/>
      <c r="AP20" s="11" t="e">
        <f t="shared" si="18"/>
        <v>#DIV/0!</v>
      </c>
      <c r="AQ20" s="11" t="e">
        <f t="shared" si="19"/>
        <v>#DIV/0!</v>
      </c>
      <c r="AR20" s="7"/>
      <c r="AS20" s="7"/>
      <c r="AT20" s="11" t="e">
        <f t="shared" si="20"/>
        <v>#DIV/0!</v>
      </c>
      <c r="AU20" s="11" t="e">
        <f t="shared" si="21"/>
        <v>#DIV/0!</v>
      </c>
      <c r="AV20" s="20"/>
      <c r="AW20" s="20"/>
      <c r="AX20" s="11" t="e">
        <f t="shared" si="22"/>
        <v>#DIV/0!</v>
      </c>
      <c r="AY20" s="11" t="e">
        <f t="shared" si="23"/>
        <v>#DIV/0!</v>
      </c>
      <c r="AZ20" s="19">
        <f t="shared" si="24"/>
        <v>0</v>
      </c>
      <c r="BA20" s="11" t="e">
        <f t="shared" si="25"/>
        <v>#DIV/0!</v>
      </c>
      <c r="BB20" s="11" t="e">
        <f t="shared" si="26"/>
        <v>#DIV/0!</v>
      </c>
    </row>
    <row r="21" spans="2:54" x14ac:dyDescent="0.35">
      <c r="B21" s="3">
        <f t="shared" si="27"/>
        <v>15</v>
      </c>
      <c r="C21" s="3" t="s">
        <v>25</v>
      </c>
      <c r="D21" s="7">
        <v>1</v>
      </c>
      <c r="E21" s="7">
        <v>6583498</v>
      </c>
      <c r="F21" s="11">
        <f t="shared" si="0"/>
        <v>3.3333333333333333E-2</v>
      </c>
      <c r="G21" s="11">
        <f t="shared" si="1"/>
        <v>2.7544556529158055E-2</v>
      </c>
      <c r="H21" s="7">
        <v>1</v>
      </c>
      <c r="I21" s="7">
        <v>6915599</v>
      </c>
      <c r="J21" s="11">
        <f t="shared" si="2"/>
        <v>3.5714285714285712E-2</v>
      </c>
      <c r="K21" s="11">
        <f t="shared" si="3"/>
        <v>3.1072682990647051E-2</v>
      </c>
      <c r="L21" s="7">
        <v>1</v>
      </c>
      <c r="M21" s="7">
        <v>7132849</v>
      </c>
      <c r="N21" s="11">
        <f t="shared" si="4"/>
        <v>3.5714285714285712E-2</v>
      </c>
      <c r="O21" s="11">
        <f t="shared" si="5"/>
        <v>3.1437031128824469E-2</v>
      </c>
      <c r="P21" s="7"/>
      <c r="Q21" s="7"/>
      <c r="R21" s="11" t="e">
        <f t="shared" si="6"/>
        <v>#DIV/0!</v>
      </c>
      <c r="S21" s="11" t="e">
        <f t="shared" si="7"/>
        <v>#DIV/0!</v>
      </c>
      <c r="T21" s="7"/>
      <c r="U21" s="7"/>
      <c r="V21" s="11" t="e">
        <f t="shared" si="8"/>
        <v>#DIV/0!</v>
      </c>
      <c r="W21" s="11" t="e">
        <f t="shared" si="9"/>
        <v>#DIV/0!</v>
      </c>
      <c r="X21" s="20"/>
      <c r="Y21" s="7"/>
      <c r="Z21" s="11" t="e">
        <f t="shared" si="10"/>
        <v>#DIV/0!</v>
      </c>
      <c r="AA21" s="11" t="e">
        <f t="shared" si="11"/>
        <v>#DIV/0!</v>
      </c>
      <c r="AB21" s="20"/>
      <c r="AC21" s="7"/>
      <c r="AD21" s="11" t="e">
        <f t="shared" si="12"/>
        <v>#DIV/0!</v>
      </c>
      <c r="AE21" s="11" t="e">
        <f t="shared" si="13"/>
        <v>#DIV/0!</v>
      </c>
      <c r="AF21" s="20"/>
      <c r="AG21" s="7"/>
      <c r="AH21" s="11" t="e">
        <f t="shared" si="14"/>
        <v>#DIV/0!</v>
      </c>
      <c r="AI21" s="11" t="e">
        <f t="shared" si="15"/>
        <v>#DIV/0!</v>
      </c>
      <c r="AJ21" s="7"/>
      <c r="AK21" s="7"/>
      <c r="AL21" s="11" t="e">
        <f t="shared" si="16"/>
        <v>#DIV/0!</v>
      </c>
      <c r="AM21" s="11" t="e">
        <f t="shared" si="17"/>
        <v>#DIV/0!</v>
      </c>
      <c r="AN21" s="7"/>
      <c r="AO21" s="7"/>
      <c r="AP21" s="11" t="e">
        <f t="shared" si="18"/>
        <v>#DIV/0!</v>
      </c>
      <c r="AQ21" s="11" t="e">
        <f t="shared" si="19"/>
        <v>#DIV/0!</v>
      </c>
      <c r="AR21" s="7"/>
      <c r="AS21" s="7"/>
      <c r="AT21" s="11" t="e">
        <f t="shared" si="20"/>
        <v>#DIV/0!</v>
      </c>
      <c r="AU21" s="11" t="e">
        <f t="shared" si="21"/>
        <v>#DIV/0!</v>
      </c>
      <c r="AV21" s="20"/>
      <c r="AW21" s="20"/>
      <c r="AX21" s="11" t="e">
        <f t="shared" si="22"/>
        <v>#DIV/0!</v>
      </c>
      <c r="AY21" s="11" t="e">
        <f t="shared" si="23"/>
        <v>#DIV/0!</v>
      </c>
      <c r="AZ21" s="19">
        <f t="shared" si="24"/>
        <v>20631946</v>
      </c>
      <c r="BA21" s="11" t="e">
        <f t="shared" si="25"/>
        <v>#DIV/0!</v>
      </c>
      <c r="BB21" s="11" t="e">
        <f t="shared" si="26"/>
        <v>#DIV/0!</v>
      </c>
    </row>
    <row r="22" spans="2:54" x14ac:dyDescent="0.35">
      <c r="B22" s="3">
        <f t="shared" si="27"/>
        <v>16</v>
      </c>
      <c r="C22" s="3" t="s">
        <v>26</v>
      </c>
      <c r="D22" s="7"/>
      <c r="E22" s="7"/>
      <c r="F22" s="11">
        <f t="shared" si="0"/>
        <v>0</v>
      </c>
      <c r="G22" s="11">
        <f t="shared" si="1"/>
        <v>0</v>
      </c>
      <c r="H22" s="7"/>
      <c r="I22" s="7"/>
      <c r="J22" s="11">
        <f t="shared" si="2"/>
        <v>0</v>
      </c>
      <c r="K22" s="11">
        <f t="shared" si="3"/>
        <v>0</v>
      </c>
      <c r="L22" s="7"/>
      <c r="M22" s="7"/>
      <c r="N22" s="11">
        <f t="shared" si="4"/>
        <v>0</v>
      </c>
      <c r="O22" s="11">
        <f t="shared" si="5"/>
        <v>0</v>
      </c>
      <c r="P22" s="7"/>
      <c r="Q22" s="7"/>
      <c r="R22" s="11" t="e">
        <f t="shared" si="6"/>
        <v>#DIV/0!</v>
      </c>
      <c r="S22" s="11" t="e">
        <f t="shared" si="7"/>
        <v>#DIV/0!</v>
      </c>
      <c r="T22" s="7"/>
      <c r="U22" s="7"/>
      <c r="V22" s="11" t="e">
        <f t="shared" si="8"/>
        <v>#DIV/0!</v>
      </c>
      <c r="W22" s="11" t="e">
        <f t="shared" si="9"/>
        <v>#DIV/0!</v>
      </c>
      <c r="X22" s="20"/>
      <c r="Y22" s="7"/>
      <c r="Z22" s="11" t="e">
        <f t="shared" si="10"/>
        <v>#DIV/0!</v>
      </c>
      <c r="AA22" s="11" t="e">
        <f t="shared" si="11"/>
        <v>#DIV/0!</v>
      </c>
      <c r="AB22" s="20"/>
      <c r="AC22" s="7"/>
      <c r="AD22" s="11" t="e">
        <f t="shared" si="12"/>
        <v>#DIV/0!</v>
      </c>
      <c r="AE22" s="11" t="e">
        <f t="shared" si="13"/>
        <v>#DIV/0!</v>
      </c>
      <c r="AF22" s="20"/>
      <c r="AG22" s="7"/>
      <c r="AH22" s="11" t="e">
        <f t="shared" si="14"/>
        <v>#DIV/0!</v>
      </c>
      <c r="AI22" s="11" t="e">
        <f t="shared" si="15"/>
        <v>#DIV/0!</v>
      </c>
      <c r="AJ22" s="7"/>
      <c r="AK22" s="7"/>
      <c r="AL22" s="11" t="e">
        <f t="shared" si="16"/>
        <v>#DIV/0!</v>
      </c>
      <c r="AM22" s="11" t="e">
        <f t="shared" si="17"/>
        <v>#DIV/0!</v>
      </c>
      <c r="AN22" s="7"/>
      <c r="AO22" s="7"/>
      <c r="AP22" s="11" t="e">
        <f t="shared" si="18"/>
        <v>#DIV/0!</v>
      </c>
      <c r="AQ22" s="11" t="e">
        <f t="shared" si="19"/>
        <v>#DIV/0!</v>
      </c>
      <c r="AR22" s="7"/>
      <c r="AS22" s="7"/>
      <c r="AT22" s="11" t="e">
        <f t="shared" si="20"/>
        <v>#DIV/0!</v>
      </c>
      <c r="AU22" s="11" t="e">
        <f t="shared" si="21"/>
        <v>#DIV/0!</v>
      </c>
      <c r="AV22" s="20"/>
      <c r="AW22" s="20"/>
      <c r="AX22" s="11" t="e">
        <f t="shared" si="22"/>
        <v>#DIV/0!</v>
      </c>
      <c r="AY22" s="11" t="e">
        <f t="shared" si="23"/>
        <v>#DIV/0!</v>
      </c>
      <c r="AZ22" s="19">
        <f t="shared" si="24"/>
        <v>0</v>
      </c>
      <c r="BA22" s="11" t="e">
        <f t="shared" si="25"/>
        <v>#DIV/0!</v>
      </c>
      <c r="BB22" s="11" t="e">
        <f t="shared" si="26"/>
        <v>#DIV/0!</v>
      </c>
    </row>
    <row r="23" spans="2:54" x14ac:dyDescent="0.35">
      <c r="B23" s="18"/>
      <c r="C23" s="18"/>
      <c r="D23" s="18"/>
      <c r="E23" s="17"/>
      <c r="F23" s="7"/>
      <c r="G23" s="7"/>
      <c r="H23" s="17"/>
      <c r="I23" s="17"/>
      <c r="J23" s="7"/>
      <c r="K23" s="7"/>
      <c r="L23" s="17"/>
      <c r="M23" s="17"/>
      <c r="N23" s="7"/>
      <c r="O23" s="7"/>
      <c r="P23" s="17"/>
      <c r="Q23" s="17"/>
      <c r="R23" s="7"/>
      <c r="S23" s="7"/>
      <c r="T23" s="17"/>
      <c r="U23" s="1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20"/>
      <c r="AG23" s="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17"/>
      <c r="AS23" s="17"/>
      <c r="AT23" s="7"/>
      <c r="AU23" s="7"/>
      <c r="AV23" s="17"/>
      <c r="AW23" s="17"/>
      <c r="AX23" s="7"/>
      <c r="AY23" s="7"/>
      <c r="AZ23" s="17"/>
      <c r="BA23" s="7"/>
      <c r="BB23" s="7"/>
    </row>
    <row r="24" spans="2:54" x14ac:dyDescent="0.35">
      <c r="B24" s="4"/>
      <c r="C24" s="4" t="s">
        <v>12</v>
      </c>
      <c r="D24" s="5">
        <f t="shared" ref="D24:AM24" si="28">SUM(D7:D23)</f>
        <v>30</v>
      </c>
      <c r="E24" s="5">
        <f t="shared" si="28"/>
        <v>239012670</v>
      </c>
      <c r="F24" s="10">
        <f t="shared" si="28"/>
        <v>1.0000000000000002</v>
      </c>
      <c r="G24" s="10">
        <f t="shared" si="28"/>
        <v>1</v>
      </c>
      <c r="H24" s="5">
        <f t="shared" si="28"/>
        <v>28</v>
      </c>
      <c r="I24" s="5">
        <f t="shared" si="28"/>
        <v>222562017</v>
      </c>
      <c r="J24" s="10">
        <f t="shared" si="28"/>
        <v>0.99999999999999989</v>
      </c>
      <c r="K24" s="10">
        <f t="shared" si="28"/>
        <v>0.99999999999999989</v>
      </c>
      <c r="L24" s="5">
        <f t="shared" si="28"/>
        <v>28</v>
      </c>
      <c r="M24" s="5">
        <f t="shared" si="28"/>
        <v>226893213</v>
      </c>
      <c r="N24" s="10">
        <f t="shared" si="28"/>
        <v>0.99999999999999989</v>
      </c>
      <c r="O24" s="10">
        <f t="shared" si="28"/>
        <v>0.99999999999999989</v>
      </c>
      <c r="P24" s="5">
        <f t="shared" si="28"/>
        <v>0</v>
      </c>
      <c r="Q24" s="5">
        <f t="shared" si="28"/>
        <v>0</v>
      </c>
      <c r="R24" s="10" t="e">
        <f t="shared" si="28"/>
        <v>#DIV/0!</v>
      </c>
      <c r="S24" s="10" t="e">
        <f t="shared" si="28"/>
        <v>#DIV/0!</v>
      </c>
      <c r="T24" s="5">
        <f t="shared" si="28"/>
        <v>0</v>
      </c>
      <c r="U24" s="5">
        <f t="shared" si="28"/>
        <v>0</v>
      </c>
      <c r="V24" s="10" t="e">
        <f t="shared" si="28"/>
        <v>#DIV/0!</v>
      </c>
      <c r="W24" s="10" t="e">
        <f t="shared" si="28"/>
        <v>#DIV/0!</v>
      </c>
      <c r="X24" s="5">
        <f t="shared" si="28"/>
        <v>0</v>
      </c>
      <c r="Y24" s="5">
        <f t="shared" si="28"/>
        <v>0</v>
      </c>
      <c r="Z24" s="10" t="e">
        <f t="shared" si="28"/>
        <v>#DIV/0!</v>
      </c>
      <c r="AA24" s="10" t="e">
        <f t="shared" si="28"/>
        <v>#DIV/0!</v>
      </c>
      <c r="AB24" s="5">
        <f t="shared" si="28"/>
        <v>0</v>
      </c>
      <c r="AC24" s="5">
        <f t="shared" si="28"/>
        <v>0</v>
      </c>
      <c r="AD24" s="10" t="e">
        <f t="shared" si="28"/>
        <v>#DIV/0!</v>
      </c>
      <c r="AE24" s="10" t="e">
        <f t="shared" si="28"/>
        <v>#DIV/0!</v>
      </c>
      <c r="AF24" s="5">
        <f t="shared" si="28"/>
        <v>0</v>
      </c>
      <c r="AG24" s="5">
        <f t="shared" si="28"/>
        <v>0</v>
      </c>
      <c r="AH24" s="10" t="e">
        <f t="shared" si="28"/>
        <v>#DIV/0!</v>
      </c>
      <c r="AI24" s="10" t="e">
        <f t="shared" si="28"/>
        <v>#DIV/0!</v>
      </c>
      <c r="AJ24" s="5">
        <f t="shared" si="28"/>
        <v>0</v>
      </c>
      <c r="AK24" s="5">
        <f t="shared" si="28"/>
        <v>0</v>
      </c>
      <c r="AL24" s="10" t="e">
        <f t="shared" si="28"/>
        <v>#DIV/0!</v>
      </c>
      <c r="AM24" s="10" t="e">
        <f t="shared" si="28"/>
        <v>#DIV/0!</v>
      </c>
      <c r="AN24" s="5">
        <f>SUM(AN7:AN22)</f>
        <v>0</v>
      </c>
      <c r="AO24" s="5">
        <f>SUM(AO7:AO23)</f>
        <v>0</v>
      </c>
      <c r="AP24" s="10" t="e">
        <f>SUM(AP7:AP23)</f>
        <v>#DIV/0!</v>
      </c>
      <c r="AQ24" s="10" t="e">
        <f>SUM(AQ7:AQ23)</f>
        <v>#DIV/0!</v>
      </c>
      <c r="AR24" s="5">
        <f>SUM(AR7:AR22)</f>
        <v>0</v>
      </c>
      <c r="AS24" s="5">
        <f>SUM(AS7:AS23)</f>
        <v>0</v>
      </c>
      <c r="AT24" s="10" t="e">
        <f>SUM(AT7:AT23)</f>
        <v>#DIV/0!</v>
      </c>
      <c r="AU24" s="10" t="e">
        <f>SUM(AU7:AU23)</f>
        <v>#DIV/0!</v>
      </c>
      <c r="AV24" s="5">
        <f>SUM(AV7:AV22)</f>
        <v>0</v>
      </c>
      <c r="AW24" s="5">
        <f t="shared" ref="AW24:BB24" si="29">SUM(AW7:AW23)</f>
        <v>0</v>
      </c>
      <c r="AX24" s="10" t="e">
        <f t="shared" si="29"/>
        <v>#DIV/0!</v>
      </c>
      <c r="AY24" s="10" t="e">
        <f t="shared" si="29"/>
        <v>#DIV/0!</v>
      </c>
      <c r="AZ24" s="5">
        <f t="shared" si="29"/>
        <v>688467900</v>
      </c>
      <c r="BA24" s="10" t="e">
        <f t="shared" si="29"/>
        <v>#DIV/0!</v>
      </c>
      <c r="BB24" s="10" t="e">
        <f t="shared" si="29"/>
        <v>#DIV/0!</v>
      </c>
    </row>
    <row r="25" spans="2:54" x14ac:dyDescent="0.35">
      <c r="E25" s="1">
        <v>49517278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x14ac:dyDescent="0.35">
      <c r="AF26" s="8">
        <f t="shared" ref="AF26:AO26" si="30">AF24-AF13</f>
        <v>0</v>
      </c>
      <c r="AG26" s="8">
        <f t="shared" si="30"/>
        <v>0</v>
      </c>
      <c r="AH26" s="8" t="e">
        <f t="shared" si="30"/>
        <v>#DIV/0!</v>
      </c>
      <c r="AI26" s="8" t="e">
        <f t="shared" si="30"/>
        <v>#DIV/0!</v>
      </c>
      <c r="AJ26" s="8">
        <f t="shared" si="30"/>
        <v>0</v>
      </c>
      <c r="AK26" s="8">
        <f t="shared" si="30"/>
        <v>0</v>
      </c>
      <c r="AL26" s="8" t="e">
        <f t="shared" si="30"/>
        <v>#DIV/0!</v>
      </c>
      <c r="AM26" s="8" t="e">
        <f t="shared" si="30"/>
        <v>#DIV/0!</v>
      </c>
      <c r="AN26" s="8">
        <f t="shared" si="30"/>
        <v>0</v>
      </c>
      <c r="AO26" s="8">
        <f t="shared" si="30"/>
        <v>0</v>
      </c>
    </row>
  </sheetData>
  <mergeCells count="12">
    <mergeCell ref="T5:U5"/>
    <mergeCell ref="D5:G5"/>
    <mergeCell ref="H5:I5"/>
    <mergeCell ref="L5:M5"/>
    <mergeCell ref="P5:Q5"/>
    <mergeCell ref="AV5:AW5"/>
    <mergeCell ref="X5:Y5"/>
    <mergeCell ref="AB5:AC5"/>
    <mergeCell ref="AF5:AG5"/>
    <mergeCell ref="AJ5:AK5"/>
    <mergeCell ref="AN5:AO5"/>
    <mergeCell ref="AR5:AS5"/>
  </mergeCells>
  <conditionalFormatting sqref="E7:E23">
    <cfRule type="top10" dxfId="99" priority="595" bottom="1" rank="1"/>
    <cfRule type="top10" dxfId="98" priority="596" rank="1"/>
  </conditionalFormatting>
  <conditionalFormatting sqref="I7:I8 I23">
    <cfRule type="top10" dxfId="97" priority="600" rank="1"/>
    <cfRule type="top10" dxfId="96" priority="599" bottom="1" rank="1"/>
  </conditionalFormatting>
  <conditionalFormatting sqref="I9:I22">
    <cfRule type="top10" dxfId="95" priority="1" bottom="1" rank="1"/>
    <cfRule type="top10" dxfId="94" priority="2" rank="1"/>
  </conditionalFormatting>
  <conditionalFormatting sqref="M7:M23">
    <cfRule type="top10" dxfId="93" priority="604" rank="1"/>
    <cfRule type="top10" dxfId="92" priority="603" bottom="1" rank="1"/>
  </conditionalFormatting>
  <conditionalFormatting sqref="Q7:Q23">
    <cfRule type="top10" dxfId="91" priority="607" bottom="1" rank="1"/>
    <cfRule type="top10" dxfId="90" priority="608" rank="1"/>
  </conditionalFormatting>
  <conditionalFormatting sqref="U7:U23">
    <cfRule type="top10" dxfId="89" priority="611" bottom="1" rank="1"/>
    <cfRule type="top10" dxfId="88" priority="612" rank="1"/>
  </conditionalFormatting>
  <conditionalFormatting sqref="Y21">
    <cfRule type="top10" dxfId="87" priority="3" bottom="1" rank="1"/>
    <cfRule type="top10" dxfId="86" priority="4" rank="1"/>
  </conditionalFormatting>
  <conditionalFormatting sqref="Y22 Y9:Y20">
    <cfRule type="top10" dxfId="85" priority="15" bottom="1" rank="1"/>
    <cfRule type="top10" dxfId="84" priority="16" rank="1"/>
  </conditionalFormatting>
  <conditionalFormatting sqref="Y23 Y7:Y8">
    <cfRule type="top10" dxfId="83" priority="34" rank="1"/>
    <cfRule type="top10" dxfId="82" priority="33" bottom="1" rank="1"/>
  </conditionalFormatting>
  <conditionalFormatting sqref="AC9:AC22">
    <cfRule type="top10" dxfId="81" priority="623" bottom="1" rank="1"/>
    <cfRule type="top10" dxfId="80" priority="624" rank="1"/>
  </conditionalFormatting>
  <conditionalFormatting sqref="AC23 AC7:AC8">
    <cfRule type="top10" dxfId="79" priority="32" rank="1"/>
    <cfRule type="top10" dxfId="78" priority="31" bottom="1" rank="1"/>
  </conditionalFormatting>
  <conditionalFormatting sqref="AG7:AG8">
    <cfRule type="top10" dxfId="77" priority="30" rank="1"/>
    <cfRule type="top10" dxfId="76" priority="29" bottom="1" rank="1"/>
  </conditionalFormatting>
  <conditionalFormatting sqref="AG9:AG23">
    <cfRule type="top10" dxfId="75" priority="627" bottom="1" rank="1"/>
    <cfRule type="top10" dxfId="74" priority="628" rank="1"/>
  </conditionalFormatting>
  <conditionalFormatting sqref="AK9:AK22">
    <cfRule type="top10" dxfId="73" priority="633" bottom="1" rank="1"/>
    <cfRule type="top10" dxfId="72" priority="634" rank="1"/>
  </conditionalFormatting>
  <conditionalFormatting sqref="AK23 AK7:AK8">
    <cfRule type="top10" dxfId="71" priority="27" bottom="1" rank="1"/>
    <cfRule type="top10" dxfId="70" priority="28" rank="1"/>
  </conditionalFormatting>
  <conditionalFormatting sqref="AO9:AO22">
    <cfRule type="top10" dxfId="69" priority="639" bottom="1" rank="1"/>
    <cfRule type="top10" dxfId="68" priority="640" rank="1"/>
  </conditionalFormatting>
  <conditionalFormatting sqref="AO23 AO7:AO8">
    <cfRule type="top10" dxfId="67" priority="25" bottom="1" rank="1"/>
    <cfRule type="top10" dxfId="66" priority="26" rank="1"/>
  </conditionalFormatting>
  <conditionalFormatting sqref="AS9:AS22">
    <cfRule type="top10" dxfId="65" priority="645" bottom="1" rank="1"/>
    <cfRule type="top10" dxfId="64" priority="646" rank="1"/>
  </conditionalFormatting>
  <conditionalFormatting sqref="AS23 AS7:AS8">
    <cfRule type="top10" dxfId="63" priority="23" bottom="1" rank="1"/>
    <cfRule type="top10" dxfId="62" priority="24" rank="1"/>
  </conditionalFormatting>
  <conditionalFormatting sqref="AW7:AW23">
    <cfRule type="top10" dxfId="61" priority="649" bottom="1" rank="1"/>
    <cfRule type="top10" dxfId="60" priority="650" rank="1"/>
  </conditionalFormatting>
  <conditionalFormatting sqref="AZ7:AZ23">
    <cfRule type="top10" dxfId="59" priority="653" bottom="1" rank="1"/>
    <cfRule type="top10" dxfId="58" priority="654" rank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92D050"/>
  </sheetPr>
  <dimension ref="B1:BB30"/>
  <sheetViews>
    <sheetView zoomScale="85" zoomScaleNormal="85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M19" sqref="M19"/>
    </sheetView>
  </sheetViews>
  <sheetFormatPr defaultRowHeight="14.5" x14ac:dyDescent="0.35"/>
  <cols>
    <col min="1" max="1" width="2.81640625" customWidth="1"/>
    <col min="2" max="2" width="4.81640625" customWidth="1"/>
    <col min="3" max="3" width="28.1796875" bestFit="1" customWidth="1"/>
    <col min="4" max="4" width="7.1796875" bestFit="1" customWidth="1"/>
    <col min="5" max="5" width="14.81640625" bestFit="1" customWidth="1"/>
    <col min="6" max="6" width="8.7265625" bestFit="1" customWidth="1"/>
    <col min="7" max="7" width="12.26953125" bestFit="1" customWidth="1"/>
    <col min="8" max="8" width="9.453125" bestFit="1" customWidth="1"/>
    <col min="9" max="9" width="14" customWidth="1"/>
    <col min="10" max="10" width="8.453125" bestFit="1" customWidth="1"/>
    <col min="11" max="11" width="12.26953125" bestFit="1" customWidth="1"/>
    <col min="12" max="12" width="6.26953125" customWidth="1"/>
    <col min="13" max="13" width="15.1796875" customWidth="1"/>
    <col min="14" max="14" width="12.26953125" bestFit="1" customWidth="1"/>
    <col min="15" max="15" width="8.7265625" bestFit="1" customWidth="1"/>
    <col min="16" max="16" width="6.26953125" customWidth="1"/>
    <col min="17" max="17" width="17.54296875" bestFit="1" customWidth="1"/>
    <col min="18" max="18" width="8.7265625" bestFit="1" customWidth="1"/>
    <col min="19" max="19" width="13.453125" bestFit="1" customWidth="1"/>
    <col min="20" max="20" width="6.26953125" customWidth="1"/>
    <col min="21" max="21" width="15.26953125" bestFit="1" customWidth="1"/>
    <col min="22" max="22" width="13.453125" bestFit="1" customWidth="1"/>
    <col min="23" max="23" width="8.453125" bestFit="1" customWidth="1"/>
    <col min="24" max="24" width="6.26953125" customWidth="1"/>
    <col min="25" max="25" width="14.81640625" bestFit="1" customWidth="1"/>
    <col min="26" max="27" width="8.7265625" bestFit="1" customWidth="1"/>
    <col min="28" max="28" width="6.26953125" customWidth="1"/>
    <col min="29" max="29" width="15.26953125" bestFit="1" customWidth="1"/>
    <col min="30" max="31" width="8.7265625" bestFit="1" customWidth="1"/>
    <col min="32" max="32" width="6.26953125" customWidth="1"/>
    <col min="33" max="33" width="15.26953125" bestFit="1" customWidth="1"/>
    <col min="34" max="35" width="8.7265625" bestFit="1" customWidth="1"/>
    <col min="36" max="36" width="6.26953125" customWidth="1"/>
    <col min="37" max="37" width="16.81640625" bestFit="1" customWidth="1"/>
    <col min="38" max="39" width="8.1796875" customWidth="1"/>
    <col min="40" max="40" width="6.26953125" customWidth="1"/>
    <col min="41" max="41" width="15.81640625" bestFit="1" customWidth="1"/>
    <col min="42" max="43" width="8.1796875" customWidth="1"/>
    <col min="44" max="44" width="6.26953125" customWidth="1"/>
    <col min="45" max="45" width="16.453125" customWidth="1"/>
    <col min="46" max="47" width="8.1796875" customWidth="1"/>
    <col min="48" max="48" width="6.26953125" customWidth="1"/>
    <col min="49" max="49" width="15.81640625" bestFit="1" customWidth="1"/>
    <col min="50" max="50" width="8.1796875" customWidth="1"/>
    <col min="51" max="51" width="11.453125" customWidth="1"/>
    <col min="52" max="52" width="15.81640625" bestFit="1" customWidth="1"/>
    <col min="53" max="53" width="8.1796875" customWidth="1"/>
    <col min="54" max="54" width="8.26953125" customWidth="1"/>
  </cols>
  <sheetData>
    <row r="1" spans="2:54" x14ac:dyDescent="0.35">
      <c r="B1" t="s">
        <v>13</v>
      </c>
      <c r="AW1" s="8"/>
      <c r="AZ1" s="8"/>
    </row>
    <row r="2" spans="2:54" x14ac:dyDescent="0.35">
      <c r="B2" t="s">
        <v>44</v>
      </c>
      <c r="AW2" s="8"/>
      <c r="AZ2" s="8"/>
    </row>
    <row r="3" spans="2:54" x14ac:dyDescent="0.35">
      <c r="B3" t="s">
        <v>79</v>
      </c>
    </row>
    <row r="4" spans="2:54" s="6" customFormat="1" x14ac:dyDescent="0.35">
      <c r="D4" s="9"/>
      <c r="H4" s="9"/>
      <c r="L4" s="9"/>
      <c r="P4" s="9"/>
      <c r="T4" s="9"/>
      <c r="X4" s="9"/>
      <c r="AB4" s="9"/>
      <c r="AF4" s="9"/>
      <c r="AJ4" s="9"/>
      <c r="AN4" s="9"/>
      <c r="AR4" s="9"/>
      <c r="AV4" s="9"/>
    </row>
    <row r="5" spans="2:54" ht="15" customHeight="1" x14ac:dyDescent="0.35">
      <c r="B5" s="2" t="s">
        <v>10</v>
      </c>
      <c r="C5" s="2" t="s">
        <v>11</v>
      </c>
      <c r="D5" s="70" t="s">
        <v>0</v>
      </c>
      <c r="E5" s="73"/>
      <c r="F5" s="73"/>
      <c r="G5" s="71"/>
      <c r="H5" s="70" t="s">
        <v>16</v>
      </c>
      <c r="I5" s="71"/>
      <c r="J5" s="21"/>
      <c r="K5" s="21"/>
      <c r="L5" s="70" t="s">
        <v>1</v>
      </c>
      <c r="M5" s="71"/>
      <c r="N5" s="21"/>
      <c r="O5" s="21"/>
      <c r="P5" s="70" t="s">
        <v>2</v>
      </c>
      <c r="Q5" s="71"/>
      <c r="R5" s="21"/>
      <c r="S5" s="21"/>
      <c r="T5" s="70" t="s">
        <v>3</v>
      </c>
      <c r="U5" s="71"/>
      <c r="V5" s="21"/>
      <c r="W5" s="21"/>
      <c r="X5" s="70" t="s">
        <v>4</v>
      </c>
      <c r="Y5" s="71"/>
      <c r="Z5" s="21"/>
      <c r="AA5" s="21"/>
      <c r="AB5" s="70" t="s">
        <v>5</v>
      </c>
      <c r="AC5" s="71"/>
      <c r="AD5" s="21"/>
      <c r="AE5" s="21"/>
      <c r="AF5" s="70" t="s">
        <v>6</v>
      </c>
      <c r="AG5" s="71"/>
      <c r="AH5" s="21"/>
      <c r="AI5" s="21"/>
      <c r="AJ5" s="70" t="s">
        <v>7</v>
      </c>
      <c r="AK5" s="71"/>
      <c r="AL5" s="21"/>
      <c r="AM5" s="21"/>
      <c r="AN5" s="70" t="s">
        <v>8</v>
      </c>
      <c r="AO5" s="71"/>
      <c r="AP5" s="21"/>
      <c r="AQ5" s="21"/>
      <c r="AR5" s="70" t="s">
        <v>33</v>
      </c>
      <c r="AS5" s="71"/>
      <c r="AT5" s="21"/>
      <c r="AU5" s="21"/>
      <c r="AV5" s="70" t="s">
        <v>9</v>
      </c>
      <c r="AW5" s="71"/>
      <c r="AX5" s="21"/>
      <c r="AY5" s="22"/>
      <c r="AZ5" s="2"/>
      <c r="BA5" s="21"/>
      <c r="BB5" s="22"/>
    </row>
    <row r="6" spans="2:54" s="14" customFormat="1" ht="29" x14ac:dyDescent="0.35">
      <c r="B6" s="12"/>
      <c r="C6" s="26" t="s">
        <v>43</v>
      </c>
      <c r="D6" s="13" t="s">
        <v>14</v>
      </c>
      <c r="E6" s="13" t="s">
        <v>15</v>
      </c>
      <c r="F6" s="13" t="s">
        <v>27</v>
      </c>
      <c r="G6" s="13" t="s">
        <v>28</v>
      </c>
      <c r="H6" s="13" t="s">
        <v>14</v>
      </c>
      <c r="I6" s="13" t="s">
        <v>15</v>
      </c>
      <c r="J6" s="13" t="s">
        <v>27</v>
      </c>
      <c r="K6" s="13" t="s">
        <v>28</v>
      </c>
      <c r="L6" s="13" t="s">
        <v>14</v>
      </c>
      <c r="M6" s="13" t="s">
        <v>15</v>
      </c>
      <c r="N6" s="13" t="s">
        <v>27</v>
      </c>
      <c r="O6" s="13" t="s">
        <v>28</v>
      </c>
      <c r="P6" s="13" t="s">
        <v>14</v>
      </c>
      <c r="Q6" s="13" t="s">
        <v>15</v>
      </c>
      <c r="R6" s="13" t="s">
        <v>27</v>
      </c>
      <c r="S6" s="13" t="s">
        <v>28</v>
      </c>
      <c r="T6" s="13" t="s">
        <v>14</v>
      </c>
      <c r="U6" s="13" t="s">
        <v>15</v>
      </c>
      <c r="V6" s="13" t="s">
        <v>27</v>
      </c>
      <c r="W6" s="13" t="s">
        <v>28</v>
      </c>
      <c r="X6" s="13" t="s">
        <v>14</v>
      </c>
      <c r="Y6" s="13" t="s">
        <v>15</v>
      </c>
      <c r="Z6" s="13" t="s">
        <v>27</v>
      </c>
      <c r="AA6" s="13" t="s">
        <v>28</v>
      </c>
      <c r="AB6" s="13" t="s">
        <v>14</v>
      </c>
      <c r="AC6" s="13" t="s">
        <v>15</v>
      </c>
      <c r="AD6" s="13" t="s">
        <v>27</v>
      </c>
      <c r="AE6" s="13" t="s">
        <v>28</v>
      </c>
      <c r="AF6" s="13" t="s">
        <v>14</v>
      </c>
      <c r="AG6" s="13" t="s">
        <v>15</v>
      </c>
      <c r="AH6" s="13" t="s">
        <v>27</v>
      </c>
      <c r="AI6" s="13" t="s">
        <v>28</v>
      </c>
      <c r="AJ6" s="13" t="s">
        <v>14</v>
      </c>
      <c r="AK6" s="13" t="s">
        <v>15</v>
      </c>
      <c r="AL6" s="13" t="s">
        <v>27</v>
      </c>
      <c r="AM6" s="13" t="s">
        <v>28</v>
      </c>
      <c r="AN6" s="13" t="s">
        <v>14</v>
      </c>
      <c r="AO6" s="13" t="s">
        <v>15</v>
      </c>
      <c r="AP6" s="13" t="s">
        <v>27</v>
      </c>
      <c r="AQ6" s="13" t="s">
        <v>28</v>
      </c>
      <c r="AR6" s="13" t="s">
        <v>14</v>
      </c>
      <c r="AS6" s="13" t="s">
        <v>15</v>
      </c>
      <c r="AT6" s="13" t="s">
        <v>27</v>
      </c>
      <c r="AU6" s="13" t="s">
        <v>28</v>
      </c>
      <c r="AV6" s="13" t="s">
        <v>14</v>
      </c>
      <c r="AW6" s="13" t="s">
        <v>15</v>
      </c>
      <c r="AX6" s="13" t="s">
        <v>27</v>
      </c>
      <c r="AY6" s="13" t="s">
        <v>28</v>
      </c>
      <c r="AZ6" s="13" t="s">
        <v>32</v>
      </c>
      <c r="BA6" s="13" t="s">
        <v>27</v>
      </c>
      <c r="BB6" s="13" t="s">
        <v>28</v>
      </c>
    </row>
    <row r="7" spans="2:54" s="6" customFormat="1" x14ac:dyDescent="0.35">
      <c r="B7" s="23">
        <v>1</v>
      </c>
      <c r="C7" s="3" t="s">
        <v>31</v>
      </c>
      <c r="D7" s="7"/>
      <c r="E7" s="7"/>
      <c r="F7" s="11">
        <f t="shared" ref="F7:F22" si="0">D7/$D$24</f>
        <v>0</v>
      </c>
      <c r="G7" s="11">
        <f t="shared" ref="G7:G22" si="1">E7/$E$24</f>
        <v>0</v>
      </c>
      <c r="H7" s="24"/>
      <c r="I7" s="24"/>
      <c r="J7" s="11">
        <f t="shared" ref="J7:J22" si="2">H7/$H$24</f>
        <v>0</v>
      </c>
      <c r="K7" s="11">
        <f t="shared" ref="K7:K22" si="3">I7/$I$24</f>
        <v>0</v>
      </c>
      <c r="L7" s="24"/>
      <c r="M7" s="24"/>
      <c r="N7" s="11">
        <f t="shared" ref="N7:N22" si="4">L7/$L$24</f>
        <v>0</v>
      </c>
      <c r="O7" s="11">
        <f t="shared" ref="O7:O22" si="5">M7/$M$24</f>
        <v>0</v>
      </c>
      <c r="P7" s="19"/>
      <c r="Q7" s="19"/>
      <c r="R7" s="11" t="e">
        <f t="shared" ref="R7:R22" si="6">P7/$P$24</f>
        <v>#DIV/0!</v>
      </c>
      <c r="S7" s="11" t="e">
        <f t="shared" ref="S7:S22" si="7">Q7/$Q$24</f>
        <v>#DIV/0!</v>
      </c>
      <c r="T7" s="24">
        <v>0</v>
      </c>
      <c r="U7" s="24"/>
      <c r="V7" s="11" t="e">
        <f t="shared" ref="V7:V22" si="8">T7/$T$24</f>
        <v>#DIV/0!</v>
      </c>
      <c r="W7" s="11" t="e">
        <f t="shared" ref="W7:W22" si="9">U7/$U$24</f>
        <v>#DIV/0!</v>
      </c>
      <c r="X7" s="24"/>
      <c r="Y7" s="24"/>
      <c r="Z7" s="11" t="e">
        <f t="shared" ref="Z7:Z22" si="10">X7/$X$24</f>
        <v>#DIV/0!</v>
      </c>
      <c r="AA7" s="11" t="e">
        <f t="shared" ref="AA7:AA22" si="11">Y7/$Y$24</f>
        <v>#DIV/0!</v>
      </c>
      <c r="AB7" s="25"/>
      <c r="AC7" s="24"/>
      <c r="AD7" s="11" t="e">
        <f t="shared" ref="AD7:AD22" si="12">AB7/$AB$24</f>
        <v>#DIV/0!</v>
      </c>
      <c r="AE7" s="11" t="e">
        <f t="shared" ref="AE7:AE22" si="13">AC7/$AC$24</f>
        <v>#DIV/0!</v>
      </c>
      <c r="AF7" s="25"/>
      <c r="AG7" s="24"/>
      <c r="AH7" s="11" t="e">
        <f t="shared" ref="AH7:AH22" si="14">AF7/$AF$24</f>
        <v>#DIV/0!</v>
      </c>
      <c r="AI7" s="11" t="e">
        <f t="shared" ref="AI7:AI22" si="15">AG7/$AG$24</f>
        <v>#DIV/0!</v>
      </c>
      <c r="AJ7" s="25"/>
      <c r="AK7" s="25"/>
      <c r="AL7" s="11" t="e">
        <f t="shared" ref="AL7:AL22" si="16">AJ7/$AJ$24</f>
        <v>#DIV/0!</v>
      </c>
      <c r="AM7" s="11" t="e">
        <f t="shared" ref="AM7:AM22" si="17">AK7/$AK$24</f>
        <v>#DIV/0!</v>
      </c>
      <c r="AN7" s="24"/>
      <c r="AO7" s="24"/>
      <c r="AP7" s="11" t="e">
        <f t="shared" ref="AP7:AP22" si="18">AN7/$AJ$24</f>
        <v>#DIV/0!</v>
      </c>
      <c r="AQ7" s="11" t="e">
        <f t="shared" ref="AQ7:AQ22" si="19">AO7/$AK$24</f>
        <v>#DIV/0!</v>
      </c>
      <c r="AR7" s="20"/>
      <c r="AS7" s="7"/>
      <c r="AT7" s="11" t="e">
        <f t="shared" ref="AT7:AT22" si="20">AR7/$AJ$24</f>
        <v>#DIV/0!</v>
      </c>
      <c r="AU7" s="11" t="e">
        <f t="shared" ref="AU7:AU22" si="21">AS7/$AK$24</f>
        <v>#DIV/0!</v>
      </c>
      <c r="AV7" s="24"/>
      <c r="AW7" s="24"/>
      <c r="AX7" s="11" t="e">
        <f t="shared" ref="AX7:AX22" si="22">AV7/$AJ$24</f>
        <v>#DIV/0!</v>
      </c>
      <c r="AY7" s="11" t="e">
        <f t="shared" ref="AY7:AY22" si="23">AW7/$AK$24</f>
        <v>#DIV/0!</v>
      </c>
      <c r="AZ7" s="19">
        <f t="shared" ref="AZ7:AZ22" si="24">E7+I7+M7+Q7+U7+Y7+AC7+AG7+AK7+AO7+AS7+AW7</f>
        <v>0</v>
      </c>
      <c r="BA7" s="11" t="e">
        <f t="shared" ref="BA7:BA22" si="25">AVERAGE(F7,J7,N7,R7,V7,Z7,AD7,AH7,AL7,AP7,AT7,AX7)</f>
        <v>#DIV/0!</v>
      </c>
      <c r="BB7" s="11" t="e">
        <f t="shared" ref="BB7:BB22" si="26">AVERAGE(G7,K7,O7,S7,W7,AA7,AE7,AI7,AM7,AQ7,AU7,AY7)</f>
        <v>#DIV/0!</v>
      </c>
    </row>
    <row r="8" spans="2:54" x14ac:dyDescent="0.35">
      <c r="B8" s="3">
        <f>B7+1</f>
        <v>2</v>
      </c>
      <c r="C8" s="3" t="s">
        <v>17</v>
      </c>
      <c r="D8" s="7"/>
      <c r="E8" s="7"/>
      <c r="F8" s="11">
        <f t="shared" si="0"/>
        <v>0</v>
      </c>
      <c r="G8" s="11">
        <f t="shared" si="1"/>
        <v>0</v>
      </c>
      <c r="H8" s="20"/>
      <c r="I8" s="7"/>
      <c r="J8" s="11">
        <f t="shared" si="2"/>
        <v>0</v>
      </c>
      <c r="K8" s="11">
        <f t="shared" si="3"/>
        <v>0</v>
      </c>
      <c r="L8" s="20"/>
      <c r="M8" s="7"/>
      <c r="N8" s="11">
        <f t="shared" si="4"/>
        <v>0</v>
      </c>
      <c r="O8" s="11">
        <f t="shared" si="5"/>
        <v>0</v>
      </c>
      <c r="P8" s="20"/>
      <c r="Q8" s="7"/>
      <c r="R8" s="11" t="e">
        <f t="shared" si="6"/>
        <v>#DIV/0!</v>
      </c>
      <c r="S8" s="11" t="e">
        <f t="shared" si="7"/>
        <v>#DIV/0!</v>
      </c>
      <c r="T8" s="20"/>
      <c r="U8" s="7"/>
      <c r="V8" s="11" t="e">
        <f t="shared" si="8"/>
        <v>#DIV/0!</v>
      </c>
      <c r="W8" s="11" t="e">
        <f t="shared" si="9"/>
        <v>#DIV/0!</v>
      </c>
      <c r="X8" s="20"/>
      <c r="Y8" s="7"/>
      <c r="Z8" s="11" t="e">
        <f t="shared" si="10"/>
        <v>#DIV/0!</v>
      </c>
      <c r="AA8" s="11" t="e">
        <f t="shared" si="11"/>
        <v>#DIV/0!</v>
      </c>
      <c r="AB8" s="7"/>
      <c r="AC8" s="20"/>
      <c r="AD8" s="11" t="e">
        <f t="shared" si="12"/>
        <v>#DIV/0!</v>
      </c>
      <c r="AE8" s="11" t="e">
        <f t="shared" si="13"/>
        <v>#DIV/0!</v>
      </c>
      <c r="AF8" s="7"/>
      <c r="AG8" s="7"/>
      <c r="AH8" s="11" t="e">
        <f t="shared" si="14"/>
        <v>#DIV/0!</v>
      </c>
      <c r="AI8" s="11" t="e">
        <f t="shared" si="15"/>
        <v>#DIV/0!</v>
      </c>
      <c r="AJ8" s="7"/>
      <c r="AK8" s="7"/>
      <c r="AL8" s="11" t="e">
        <f t="shared" si="16"/>
        <v>#DIV/0!</v>
      </c>
      <c r="AM8" s="11" t="e">
        <f t="shared" si="17"/>
        <v>#DIV/0!</v>
      </c>
      <c r="AN8" s="20"/>
      <c r="AO8" s="7"/>
      <c r="AP8" s="11" t="e">
        <f t="shared" si="18"/>
        <v>#DIV/0!</v>
      </c>
      <c r="AQ8" s="11" t="e">
        <f t="shared" si="19"/>
        <v>#DIV/0!</v>
      </c>
      <c r="AR8" s="20"/>
      <c r="AS8" s="7"/>
      <c r="AT8" s="11" t="e">
        <f t="shared" si="20"/>
        <v>#DIV/0!</v>
      </c>
      <c r="AU8" s="11" t="e">
        <f t="shared" si="21"/>
        <v>#DIV/0!</v>
      </c>
      <c r="AV8" s="20"/>
      <c r="AW8" s="20"/>
      <c r="AX8" s="11" t="e">
        <f t="shared" si="22"/>
        <v>#DIV/0!</v>
      </c>
      <c r="AY8" s="11" t="e">
        <f t="shared" si="23"/>
        <v>#DIV/0!</v>
      </c>
      <c r="AZ8" s="19">
        <f t="shared" si="24"/>
        <v>0</v>
      </c>
      <c r="BA8" s="11" t="e">
        <f t="shared" si="25"/>
        <v>#DIV/0!</v>
      </c>
      <c r="BB8" s="11" t="e">
        <f t="shared" si="26"/>
        <v>#DIV/0!</v>
      </c>
    </row>
    <row r="9" spans="2:54" x14ac:dyDescent="0.35">
      <c r="B9" s="3">
        <f t="shared" ref="B9:B22" si="27">B8+1</f>
        <v>3</v>
      </c>
      <c r="C9" s="3" t="s">
        <v>18</v>
      </c>
      <c r="D9" s="7"/>
      <c r="E9" s="7"/>
      <c r="F9" s="11">
        <f t="shared" si="0"/>
        <v>0</v>
      </c>
      <c r="G9" s="11">
        <f t="shared" si="1"/>
        <v>0</v>
      </c>
      <c r="H9" s="20"/>
      <c r="I9" s="7"/>
      <c r="J9" s="11">
        <f t="shared" si="2"/>
        <v>0</v>
      </c>
      <c r="K9" s="11">
        <f t="shared" si="3"/>
        <v>0</v>
      </c>
      <c r="L9" s="20"/>
      <c r="M9" s="7"/>
      <c r="N9" s="11">
        <f t="shared" si="4"/>
        <v>0</v>
      </c>
      <c r="O9" s="11">
        <f t="shared" si="5"/>
        <v>0</v>
      </c>
      <c r="P9" s="20"/>
      <c r="Q9" s="7"/>
      <c r="R9" s="11" t="e">
        <f t="shared" si="6"/>
        <v>#DIV/0!</v>
      </c>
      <c r="S9" s="11" t="e">
        <f t="shared" si="7"/>
        <v>#DIV/0!</v>
      </c>
      <c r="T9" s="20"/>
      <c r="U9" s="7"/>
      <c r="V9" s="11" t="e">
        <f t="shared" si="8"/>
        <v>#DIV/0!</v>
      </c>
      <c r="W9" s="11" t="e">
        <f t="shared" si="9"/>
        <v>#DIV/0!</v>
      </c>
      <c r="X9" s="20"/>
      <c r="Y9" s="7"/>
      <c r="Z9" s="11" t="e">
        <f t="shared" si="10"/>
        <v>#DIV/0!</v>
      </c>
      <c r="AA9" s="11" t="e">
        <f t="shared" si="11"/>
        <v>#DIV/0!</v>
      </c>
      <c r="AB9" s="7"/>
      <c r="AC9" s="20"/>
      <c r="AD9" s="11" t="e">
        <f t="shared" si="12"/>
        <v>#DIV/0!</v>
      </c>
      <c r="AE9" s="11" t="e">
        <f t="shared" si="13"/>
        <v>#DIV/0!</v>
      </c>
      <c r="AF9" s="7">
        <v>0</v>
      </c>
      <c r="AG9" s="7"/>
      <c r="AH9" s="11" t="e">
        <f t="shared" si="14"/>
        <v>#DIV/0!</v>
      </c>
      <c r="AI9" s="11" t="e">
        <f t="shared" si="15"/>
        <v>#DIV/0!</v>
      </c>
      <c r="AJ9" s="7"/>
      <c r="AK9" s="7"/>
      <c r="AL9" s="11" t="e">
        <f t="shared" si="16"/>
        <v>#DIV/0!</v>
      </c>
      <c r="AM9" s="11" t="e">
        <f t="shared" si="17"/>
        <v>#DIV/0!</v>
      </c>
      <c r="AN9" s="20"/>
      <c r="AO9" s="7"/>
      <c r="AP9" s="11" t="e">
        <f t="shared" si="18"/>
        <v>#DIV/0!</v>
      </c>
      <c r="AQ9" s="11" t="e">
        <f t="shared" si="19"/>
        <v>#DIV/0!</v>
      </c>
      <c r="AR9" s="20"/>
      <c r="AS9" s="7"/>
      <c r="AT9" s="11" t="e">
        <f t="shared" si="20"/>
        <v>#DIV/0!</v>
      </c>
      <c r="AU9" s="11" t="e">
        <f t="shared" si="21"/>
        <v>#DIV/0!</v>
      </c>
      <c r="AV9" s="20"/>
      <c r="AW9" s="20"/>
      <c r="AX9" s="11" t="e">
        <f t="shared" si="22"/>
        <v>#DIV/0!</v>
      </c>
      <c r="AY9" s="11" t="e">
        <f t="shared" si="23"/>
        <v>#DIV/0!</v>
      </c>
      <c r="AZ9" s="19">
        <f t="shared" si="24"/>
        <v>0</v>
      </c>
      <c r="BA9" s="11" t="e">
        <f t="shared" si="25"/>
        <v>#DIV/0!</v>
      </c>
      <c r="BB9" s="11" t="e">
        <f t="shared" si="26"/>
        <v>#DIV/0!</v>
      </c>
    </row>
    <row r="10" spans="2:54" x14ac:dyDescent="0.35">
      <c r="B10" s="3">
        <f t="shared" si="27"/>
        <v>4</v>
      </c>
      <c r="C10" s="3" t="s">
        <v>19</v>
      </c>
      <c r="D10" s="7"/>
      <c r="E10" s="7"/>
      <c r="F10" s="11">
        <f t="shared" si="0"/>
        <v>0</v>
      </c>
      <c r="G10" s="11">
        <f t="shared" si="1"/>
        <v>0</v>
      </c>
      <c r="H10" s="7"/>
      <c r="I10" s="7"/>
      <c r="J10" s="11">
        <f t="shared" si="2"/>
        <v>0</v>
      </c>
      <c r="K10" s="11">
        <f t="shared" si="3"/>
        <v>0</v>
      </c>
      <c r="L10" s="7"/>
      <c r="M10" s="7"/>
      <c r="N10" s="11">
        <f t="shared" si="4"/>
        <v>0</v>
      </c>
      <c r="O10" s="11">
        <f t="shared" si="5"/>
        <v>0</v>
      </c>
      <c r="P10" s="7"/>
      <c r="Q10" s="7"/>
      <c r="R10" s="11" t="e">
        <f t="shared" si="6"/>
        <v>#DIV/0!</v>
      </c>
      <c r="S10" s="11" t="e">
        <f t="shared" si="7"/>
        <v>#DIV/0!</v>
      </c>
      <c r="T10" s="7"/>
      <c r="U10" s="7"/>
      <c r="V10" s="11" t="e">
        <f t="shared" si="8"/>
        <v>#DIV/0!</v>
      </c>
      <c r="W10" s="11" t="e">
        <f t="shared" si="9"/>
        <v>#DIV/0!</v>
      </c>
      <c r="X10" s="7"/>
      <c r="Y10" s="7"/>
      <c r="Z10" s="11" t="e">
        <f t="shared" si="10"/>
        <v>#DIV/0!</v>
      </c>
      <c r="AA10" s="11" t="e">
        <f t="shared" si="11"/>
        <v>#DIV/0!</v>
      </c>
      <c r="AB10" s="7"/>
      <c r="AC10" s="7"/>
      <c r="AD10" s="11" t="e">
        <f t="shared" si="12"/>
        <v>#DIV/0!</v>
      </c>
      <c r="AE10" s="11" t="e">
        <f t="shared" si="13"/>
        <v>#DIV/0!</v>
      </c>
      <c r="AF10" s="20"/>
      <c r="AG10" s="20"/>
      <c r="AH10" s="11" t="e">
        <f t="shared" si="14"/>
        <v>#DIV/0!</v>
      </c>
      <c r="AI10" s="11" t="e">
        <f t="shared" si="15"/>
        <v>#DIV/0!</v>
      </c>
      <c r="AJ10" s="20"/>
      <c r="AK10" s="7"/>
      <c r="AL10" s="11" t="e">
        <f t="shared" si="16"/>
        <v>#DIV/0!</v>
      </c>
      <c r="AM10" s="11" t="e">
        <f t="shared" si="17"/>
        <v>#DIV/0!</v>
      </c>
      <c r="AN10" s="20"/>
      <c r="AO10" s="7"/>
      <c r="AP10" s="11" t="e">
        <f t="shared" si="18"/>
        <v>#DIV/0!</v>
      </c>
      <c r="AQ10" s="11" t="e">
        <f t="shared" si="19"/>
        <v>#DIV/0!</v>
      </c>
      <c r="AR10" s="20"/>
      <c r="AS10" s="7"/>
      <c r="AT10" s="11" t="e">
        <f t="shared" si="20"/>
        <v>#DIV/0!</v>
      </c>
      <c r="AU10" s="11" t="e">
        <f t="shared" si="21"/>
        <v>#DIV/0!</v>
      </c>
      <c r="AV10" s="20"/>
      <c r="AW10" s="20"/>
      <c r="AX10" s="11" t="e">
        <f t="shared" si="22"/>
        <v>#DIV/0!</v>
      </c>
      <c r="AY10" s="11" t="e">
        <f t="shared" si="23"/>
        <v>#DIV/0!</v>
      </c>
      <c r="AZ10" s="19">
        <f t="shared" si="24"/>
        <v>0</v>
      </c>
      <c r="BA10" s="11" t="e">
        <f t="shared" si="25"/>
        <v>#DIV/0!</v>
      </c>
      <c r="BB10" s="11" t="e">
        <f t="shared" si="26"/>
        <v>#DIV/0!</v>
      </c>
    </row>
    <row r="11" spans="2:54" x14ac:dyDescent="0.35">
      <c r="B11" s="3">
        <f t="shared" si="27"/>
        <v>5</v>
      </c>
      <c r="C11" s="3" t="s">
        <v>20</v>
      </c>
      <c r="D11" s="7"/>
      <c r="E11" s="7"/>
      <c r="F11" s="11">
        <f t="shared" si="0"/>
        <v>0</v>
      </c>
      <c r="G11" s="11">
        <f t="shared" si="1"/>
        <v>0</v>
      </c>
      <c r="H11" s="7"/>
      <c r="I11" s="7"/>
      <c r="J11" s="11">
        <f t="shared" si="2"/>
        <v>0</v>
      </c>
      <c r="K11" s="11">
        <f t="shared" si="3"/>
        <v>0</v>
      </c>
      <c r="L11" s="7"/>
      <c r="M11" s="7"/>
      <c r="N11" s="11">
        <f t="shared" si="4"/>
        <v>0</v>
      </c>
      <c r="O11" s="11">
        <f t="shared" si="5"/>
        <v>0</v>
      </c>
      <c r="P11" s="7"/>
      <c r="Q11" s="7"/>
      <c r="R11" s="11" t="e">
        <f t="shared" si="6"/>
        <v>#DIV/0!</v>
      </c>
      <c r="S11" s="11" t="e">
        <f t="shared" si="7"/>
        <v>#DIV/0!</v>
      </c>
      <c r="T11" s="7"/>
      <c r="U11" s="7"/>
      <c r="V11" s="11" t="e">
        <f t="shared" si="8"/>
        <v>#DIV/0!</v>
      </c>
      <c r="W11" s="11" t="e">
        <f t="shared" si="9"/>
        <v>#DIV/0!</v>
      </c>
      <c r="X11" s="7"/>
      <c r="Y11" s="7"/>
      <c r="Z11" s="11" t="e">
        <f t="shared" si="10"/>
        <v>#DIV/0!</v>
      </c>
      <c r="AA11" s="11" t="e">
        <f t="shared" si="11"/>
        <v>#DIV/0!</v>
      </c>
      <c r="AB11" s="7"/>
      <c r="AC11" s="7"/>
      <c r="AD11" s="11" t="e">
        <f t="shared" si="12"/>
        <v>#DIV/0!</v>
      </c>
      <c r="AE11" s="11" t="e">
        <f t="shared" si="13"/>
        <v>#DIV/0!</v>
      </c>
      <c r="AF11" s="7"/>
      <c r="AG11" s="7"/>
      <c r="AH11" s="11" t="e">
        <f t="shared" si="14"/>
        <v>#DIV/0!</v>
      </c>
      <c r="AI11" s="11" t="e">
        <f t="shared" si="15"/>
        <v>#DIV/0!</v>
      </c>
      <c r="AJ11" s="7"/>
      <c r="AK11" s="7"/>
      <c r="AL11" s="11" t="e">
        <f t="shared" si="16"/>
        <v>#DIV/0!</v>
      </c>
      <c r="AM11" s="11" t="e">
        <f t="shared" si="17"/>
        <v>#DIV/0!</v>
      </c>
      <c r="AN11" s="20"/>
      <c r="AO11" s="7"/>
      <c r="AP11" s="11" t="e">
        <f t="shared" si="18"/>
        <v>#DIV/0!</v>
      </c>
      <c r="AQ11" s="11" t="e">
        <f t="shared" si="19"/>
        <v>#DIV/0!</v>
      </c>
      <c r="AR11" s="20"/>
      <c r="AS11" s="7"/>
      <c r="AT11" s="11" t="e">
        <f t="shared" si="20"/>
        <v>#DIV/0!</v>
      </c>
      <c r="AU11" s="11" t="e">
        <f t="shared" si="21"/>
        <v>#DIV/0!</v>
      </c>
      <c r="AV11" s="20"/>
      <c r="AW11" s="20"/>
      <c r="AX11" s="11" t="e">
        <f t="shared" si="22"/>
        <v>#DIV/0!</v>
      </c>
      <c r="AY11" s="11" t="e">
        <f t="shared" si="23"/>
        <v>#DIV/0!</v>
      </c>
      <c r="AZ11" s="19">
        <f t="shared" si="24"/>
        <v>0</v>
      </c>
      <c r="BA11" s="11" t="e">
        <f t="shared" si="25"/>
        <v>#DIV/0!</v>
      </c>
      <c r="BB11" s="11" t="e">
        <f t="shared" si="26"/>
        <v>#DIV/0!</v>
      </c>
    </row>
    <row r="12" spans="2:54" x14ac:dyDescent="0.35">
      <c r="B12" s="3">
        <f t="shared" si="27"/>
        <v>6</v>
      </c>
      <c r="C12" s="3" t="s">
        <v>65</v>
      </c>
      <c r="D12" s="7">
        <v>3</v>
      </c>
      <c r="E12" s="7">
        <f>16264896</f>
        <v>16264896</v>
      </c>
      <c r="F12" s="11">
        <f t="shared" si="0"/>
        <v>0.15</v>
      </c>
      <c r="G12" s="11">
        <f t="shared" si="1"/>
        <v>0.10062335904461676</v>
      </c>
      <c r="H12" s="7">
        <v>2</v>
      </c>
      <c r="I12" s="7">
        <v>13880015</v>
      </c>
      <c r="J12" s="11">
        <f t="shared" si="2"/>
        <v>0.10526315789473684</v>
      </c>
      <c r="K12" s="11">
        <f t="shared" si="3"/>
        <v>8.9425190188103493E-2</v>
      </c>
      <c r="L12" s="7">
        <v>2</v>
      </c>
      <c r="M12" s="7">
        <v>13880015</v>
      </c>
      <c r="N12" s="11">
        <f t="shared" si="4"/>
        <v>0.10526315789473684</v>
      </c>
      <c r="O12" s="11">
        <f t="shared" si="5"/>
        <v>8.9425190188103493E-2</v>
      </c>
      <c r="P12" s="7"/>
      <c r="Q12" s="7"/>
      <c r="R12" s="11" t="e">
        <f t="shared" si="6"/>
        <v>#DIV/0!</v>
      </c>
      <c r="S12" s="11" t="e">
        <f t="shared" si="7"/>
        <v>#DIV/0!</v>
      </c>
      <c r="T12" s="7"/>
      <c r="U12" s="7"/>
      <c r="V12" s="11" t="e">
        <f t="shared" si="8"/>
        <v>#DIV/0!</v>
      </c>
      <c r="W12" s="11" t="e">
        <f t="shared" si="9"/>
        <v>#DIV/0!</v>
      </c>
      <c r="X12" s="7"/>
      <c r="Y12" s="7"/>
      <c r="Z12" s="11" t="e">
        <f t="shared" si="10"/>
        <v>#DIV/0!</v>
      </c>
      <c r="AA12" s="11" t="e">
        <f t="shared" si="11"/>
        <v>#DIV/0!</v>
      </c>
      <c r="AB12" s="7"/>
      <c r="AC12" s="7"/>
      <c r="AD12" s="11" t="e">
        <f t="shared" si="12"/>
        <v>#DIV/0!</v>
      </c>
      <c r="AE12" s="11" t="e">
        <f t="shared" si="13"/>
        <v>#DIV/0!</v>
      </c>
      <c r="AF12" s="20"/>
      <c r="AG12" s="20"/>
      <c r="AH12" s="11" t="e">
        <f t="shared" si="14"/>
        <v>#DIV/0!</v>
      </c>
      <c r="AI12" s="11" t="e">
        <f t="shared" si="15"/>
        <v>#DIV/0!</v>
      </c>
      <c r="AJ12" s="20"/>
      <c r="AK12" s="7"/>
      <c r="AL12" s="11" t="e">
        <f t="shared" si="16"/>
        <v>#DIV/0!</v>
      </c>
      <c r="AM12" s="11" t="e">
        <f t="shared" si="17"/>
        <v>#DIV/0!</v>
      </c>
      <c r="AN12" s="20"/>
      <c r="AO12" s="7"/>
      <c r="AP12" s="11" t="e">
        <f t="shared" si="18"/>
        <v>#DIV/0!</v>
      </c>
      <c r="AQ12" s="11" t="e">
        <f t="shared" si="19"/>
        <v>#DIV/0!</v>
      </c>
      <c r="AR12" s="20"/>
      <c r="AS12" s="7"/>
      <c r="AT12" s="11" t="e">
        <f t="shared" si="20"/>
        <v>#DIV/0!</v>
      </c>
      <c r="AU12" s="11" t="e">
        <f t="shared" si="21"/>
        <v>#DIV/0!</v>
      </c>
      <c r="AV12" s="20"/>
      <c r="AW12" s="20"/>
      <c r="AX12" s="11" t="e">
        <f t="shared" si="22"/>
        <v>#DIV/0!</v>
      </c>
      <c r="AY12" s="11" t="e">
        <f t="shared" si="23"/>
        <v>#DIV/0!</v>
      </c>
      <c r="AZ12" s="19">
        <f t="shared" si="24"/>
        <v>44024926</v>
      </c>
      <c r="BA12" s="11" t="e">
        <f t="shared" si="25"/>
        <v>#DIV/0!</v>
      </c>
      <c r="BB12" s="11" t="e">
        <f t="shared" si="26"/>
        <v>#DIV/0!</v>
      </c>
    </row>
    <row r="13" spans="2:54" x14ac:dyDescent="0.35">
      <c r="B13" s="3">
        <f t="shared" si="27"/>
        <v>7</v>
      </c>
      <c r="C13" s="3" t="s">
        <v>39</v>
      </c>
      <c r="D13" s="7">
        <v>9</v>
      </c>
      <c r="E13" s="7">
        <f>87728405</f>
        <v>87728405</v>
      </c>
      <c r="F13" s="11">
        <f t="shared" si="0"/>
        <v>0.45</v>
      </c>
      <c r="G13" s="11">
        <f t="shared" si="1"/>
        <v>0.54273490557373083</v>
      </c>
      <c r="H13" s="7">
        <v>9</v>
      </c>
      <c r="I13" s="7">
        <v>87728405</v>
      </c>
      <c r="J13" s="11">
        <f t="shared" si="2"/>
        <v>0.47368421052631576</v>
      </c>
      <c r="K13" s="11">
        <f t="shared" si="3"/>
        <v>0.56521043399621462</v>
      </c>
      <c r="L13" s="7">
        <v>9</v>
      </c>
      <c r="M13" s="7">
        <v>87728405</v>
      </c>
      <c r="N13" s="11">
        <f t="shared" si="4"/>
        <v>0.47368421052631576</v>
      </c>
      <c r="O13" s="11">
        <f t="shared" si="5"/>
        <v>0.56521043399621462</v>
      </c>
      <c r="P13" s="7"/>
      <c r="Q13" s="7"/>
      <c r="R13" s="11" t="e">
        <f t="shared" si="6"/>
        <v>#DIV/0!</v>
      </c>
      <c r="S13" s="11" t="e">
        <f t="shared" si="7"/>
        <v>#DIV/0!</v>
      </c>
      <c r="T13" s="7"/>
      <c r="U13" s="7"/>
      <c r="V13" s="11" t="e">
        <f t="shared" si="8"/>
        <v>#DIV/0!</v>
      </c>
      <c r="W13" s="11" t="e">
        <f t="shared" si="9"/>
        <v>#DIV/0!</v>
      </c>
      <c r="X13" s="7"/>
      <c r="Y13" s="7"/>
      <c r="Z13" s="11" t="e">
        <f t="shared" si="10"/>
        <v>#DIV/0!</v>
      </c>
      <c r="AA13" s="11" t="e">
        <f t="shared" si="11"/>
        <v>#DIV/0!</v>
      </c>
      <c r="AB13" s="7"/>
      <c r="AC13" s="7"/>
      <c r="AD13" s="11" t="e">
        <f t="shared" si="12"/>
        <v>#DIV/0!</v>
      </c>
      <c r="AE13" s="11" t="e">
        <f t="shared" si="13"/>
        <v>#DIV/0!</v>
      </c>
      <c r="AF13" s="20"/>
      <c r="AG13" s="20"/>
      <c r="AH13" s="11" t="e">
        <f t="shared" si="14"/>
        <v>#DIV/0!</v>
      </c>
      <c r="AI13" s="11" t="e">
        <f t="shared" si="15"/>
        <v>#DIV/0!</v>
      </c>
      <c r="AJ13" s="20"/>
      <c r="AK13" s="7"/>
      <c r="AL13" s="11" t="e">
        <f t="shared" si="16"/>
        <v>#DIV/0!</v>
      </c>
      <c r="AM13" s="11" t="e">
        <f t="shared" si="17"/>
        <v>#DIV/0!</v>
      </c>
      <c r="AN13" s="20"/>
      <c r="AO13" s="7"/>
      <c r="AP13" s="11" t="e">
        <f t="shared" si="18"/>
        <v>#DIV/0!</v>
      </c>
      <c r="AQ13" s="11" t="e">
        <f t="shared" si="19"/>
        <v>#DIV/0!</v>
      </c>
      <c r="AR13" s="20"/>
      <c r="AS13" s="7"/>
      <c r="AT13" s="11" t="e">
        <f t="shared" si="20"/>
        <v>#DIV/0!</v>
      </c>
      <c r="AU13" s="11" t="e">
        <f t="shared" si="21"/>
        <v>#DIV/0!</v>
      </c>
      <c r="AV13" s="20"/>
      <c r="AW13" s="20"/>
      <c r="AX13" s="11" t="e">
        <f t="shared" si="22"/>
        <v>#DIV/0!</v>
      </c>
      <c r="AY13" s="11" t="e">
        <f t="shared" si="23"/>
        <v>#DIV/0!</v>
      </c>
      <c r="AZ13" s="19">
        <f t="shared" si="24"/>
        <v>263185215</v>
      </c>
      <c r="BA13" s="11" t="e">
        <f t="shared" si="25"/>
        <v>#DIV/0!</v>
      </c>
      <c r="BB13" s="11" t="e">
        <f t="shared" si="26"/>
        <v>#DIV/0!</v>
      </c>
    </row>
    <row r="14" spans="2:54" x14ac:dyDescent="0.35">
      <c r="B14" s="3">
        <f t="shared" si="27"/>
        <v>8</v>
      </c>
      <c r="C14" s="3" t="s">
        <v>21</v>
      </c>
      <c r="D14" s="7">
        <v>1</v>
      </c>
      <c r="E14" s="7">
        <v>7168725</v>
      </c>
      <c r="F14" s="11">
        <f t="shared" si="0"/>
        <v>0.05</v>
      </c>
      <c r="G14" s="11">
        <f t="shared" si="1"/>
        <v>4.4349572820331612E-2</v>
      </c>
      <c r="H14" s="7">
        <v>1</v>
      </c>
      <c r="I14" s="7">
        <v>7526019</v>
      </c>
      <c r="J14" s="11">
        <f t="shared" si="2"/>
        <v>5.2631578947368418E-2</v>
      </c>
      <c r="K14" s="11">
        <f t="shared" si="3"/>
        <v>4.8488109013879344E-2</v>
      </c>
      <c r="L14" s="7">
        <v>1</v>
      </c>
      <c r="M14" s="7">
        <v>7526019</v>
      </c>
      <c r="N14" s="11">
        <f t="shared" si="4"/>
        <v>5.2631578947368418E-2</v>
      </c>
      <c r="O14" s="11">
        <f t="shared" si="5"/>
        <v>4.8488109013879344E-2</v>
      </c>
      <c r="P14" s="7"/>
      <c r="Q14" s="7"/>
      <c r="R14" s="11" t="e">
        <f t="shared" si="6"/>
        <v>#DIV/0!</v>
      </c>
      <c r="S14" s="11" t="e">
        <f t="shared" si="7"/>
        <v>#DIV/0!</v>
      </c>
      <c r="T14" s="7"/>
      <c r="U14" s="7"/>
      <c r="V14" s="11" t="e">
        <f t="shared" si="8"/>
        <v>#DIV/0!</v>
      </c>
      <c r="W14" s="11" t="e">
        <f t="shared" si="9"/>
        <v>#DIV/0!</v>
      </c>
      <c r="X14" s="7"/>
      <c r="Y14" s="7"/>
      <c r="Z14" s="11" t="e">
        <f t="shared" si="10"/>
        <v>#DIV/0!</v>
      </c>
      <c r="AA14" s="11" t="e">
        <f t="shared" si="11"/>
        <v>#DIV/0!</v>
      </c>
      <c r="AB14" s="7"/>
      <c r="AC14" s="7"/>
      <c r="AD14" s="11" t="e">
        <f t="shared" si="12"/>
        <v>#DIV/0!</v>
      </c>
      <c r="AE14" s="11" t="e">
        <f t="shared" si="13"/>
        <v>#DIV/0!</v>
      </c>
      <c r="AF14" s="20"/>
      <c r="AG14" s="20"/>
      <c r="AH14" s="11" t="e">
        <f t="shared" si="14"/>
        <v>#DIV/0!</v>
      </c>
      <c r="AI14" s="11" t="e">
        <f t="shared" si="15"/>
        <v>#DIV/0!</v>
      </c>
      <c r="AJ14" s="20"/>
      <c r="AK14" s="7"/>
      <c r="AL14" s="11" t="e">
        <f t="shared" si="16"/>
        <v>#DIV/0!</v>
      </c>
      <c r="AM14" s="11" t="e">
        <f t="shared" si="17"/>
        <v>#DIV/0!</v>
      </c>
      <c r="AN14" s="20"/>
      <c r="AO14" s="7"/>
      <c r="AP14" s="11" t="e">
        <f t="shared" si="18"/>
        <v>#DIV/0!</v>
      </c>
      <c r="AQ14" s="11" t="e">
        <f t="shared" si="19"/>
        <v>#DIV/0!</v>
      </c>
      <c r="AR14" s="20"/>
      <c r="AS14" s="7"/>
      <c r="AT14" s="11" t="e">
        <f t="shared" si="20"/>
        <v>#DIV/0!</v>
      </c>
      <c r="AU14" s="11" t="e">
        <f t="shared" si="21"/>
        <v>#DIV/0!</v>
      </c>
      <c r="AV14" s="20"/>
      <c r="AW14" s="20"/>
      <c r="AX14" s="11" t="e">
        <f t="shared" si="22"/>
        <v>#DIV/0!</v>
      </c>
      <c r="AY14" s="11" t="e">
        <f t="shared" si="23"/>
        <v>#DIV/0!</v>
      </c>
      <c r="AZ14" s="19">
        <f t="shared" si="24"/>
        <v>22220763</v>
      </c>
      <c r="BA14" s="11" t="e">
        <f t="shared" si="25"/>
        <v>#DIV/0!</v>
      </c>
      <c r="BB14" s="11" t="e">
        <f t="shared" si="26"/>
        <v>#DIV/0!</v>
      </c>
    </row>
    <row r="15" spans="2:54" x14ac:dyDescent="0.35">
      <c r="B15" s="3">
        <f t="shared" si="27"/>
        <v>9</v>
      </c>
      <c r="C15" s="3" t="s">
        <v>22</v>
      </c>
      <c r="D15" s="7"/>
      <c r="E15" s="7"/>
      <c r="F15" s="11">
        <f t="shared" si="0"/>
        <v>0</v>
      </c>
      <c r="G15" s="11">
        <f t="shared" si="1"/>
        <v>0</v>
      </c>
      <c r="H15" s="7"/>
      <c r="I15" s="7"/>
      <c r="J15" s="11">
        <f t="shared" si="2"/>
        <v>0</v>
      </c>
      <c r="K15" s="11">
        <f t="shared" si="3"/>
        <v>0</v>
      </c>
      <c r="L15" s="7"/>
      <c r="M15" s="7"/>
      <c r="N15" s="11">
        <f t="shared" si="4"/>
        <v>0</v>
      </c>
      <c r="O15" s="11">
        <f t="shared" si="5"/>
        <v>0</v>
      </c>
      <c r="P15" s="7"/>
      <c r="Q15" s="7"/>
      <c r="R15" s="11" t="e">
        <f t="shared" si="6"/>
        <v>#DIV/0!</v>
      </c>
      <c r="S15" s="11" t="e">
        <f t="shared" si="7"/>
        <v>#DIV/0!</v>
      </c>
      <c r="T15" s="7"/>
      <c r="U15" s="7"/>
      <c r="V15" s="11" t="e">
        <f t="shared" si="8"/>
        <v>#DIV/0!</v>
      </c>
      <c r="W15" s="11" t="e">
        <f t="shared" si="9"/>
        <v>#DIV/0!</v>
      </c>
      <c r="X15" s="7"/>
      <c r="Y15" s="7"/>
      <c r="Z15" s="11" t="e">
        <f t="shared" si="10"/>
        <v>#DIV/0!</v>
      </c>
      <c r="AA15" s="11" t="e">
        <f t="shared" si="11"/>
        <v>#DIV/0!</v>
      </c>
      <c r="AB15" s="7"/>
      <c r="AC15" s="7"/>
      <c r="AD15" s="11" t="e">
        <f t="shared" si="12"/>
        <v>#DIV/0!</v>
      </c>
      <c r="AE15" s="11" t="e">
        <f t="shared" si="13"/>
        <v>#DIV/0!</v>
      </c>
      <c r="AF15" s="20"/>
      <c r="AG15" s="20"/>
      <c r="AH15" s="11" t="e">
        <f t="shared" si="14"/>
        <v>#DIV/0!</v>
      </c>
      <c r="AI15" s="11" t="e">
        <f t="shared" si="15"/>
        <v>#DIV/0!</v>
      </c>
      <c r="AJ15" s="20"/>
      <c r="AK15" s="7"/>
      <c r="AL15" s="11" t="e">
        <f t="shared" si="16"/>
        <v>#DIV/0!</v>
      </c>
      <c r="AM15" s="11" t="e">
        <f t="shared" si="17"/>
        <v>#DIV/0!</v>
      </c>
      <c r="AN15" s="20"/>
      <c r="AO15" s="7"/>
      <c r="AP15" s="11" t="e">
        <f t="shared" si="18"/>
        <v>#DIV/0!</v>
      </c>
      <c r="AQ15" s="11" t="e">
        <f t="shared" si="19"/>
        <v>#DIV/0!</v>
      </c>
      <c r="AR15" s="20"/>
      <c r="AS15" s="7"/>
      <c r="AT15" s="11" t="e">
        <f t="shared" si="20"/>
        <v>#DIV/0!</v>
      </c>
      <c r="AU15" s="11" t="e">
        <f t="shared" si="21"/>
        <v>#DIV/0!</v>
      </c>
      <c r="AV15" s="20"/>
      <c r="AW15" s="20"/>
      <c r="AX15" s="11" t="e">
        <f t="shared" si="22"/>
        <v>#DIV/0!</v>
      </c>
      <c r="AY15" s="11" t="e">
        <f t="shared" si="23"/>
        <v>#DIV/0!</v>
      </c>
      <c r="AZ15" s="19">
        <f t="shared" si="24"/>
        <v>0</v>
      </c>
      <c r="BA15" s="11" t="e">
        <f t="shared" si="25"/>
        <v>#DIV/0!</v>
      </c>
      <c r="BB15" s="11" t="e">
        <f t="shared" si="26"/>
        <v>#DIV/0!</v>
      </c>
    </row>
    <row r="16" spans="2:54" x14ac:dyDescent="0.35">
      <c r="B16" s="3">
        <f t="shared" si="27"/>
        <v>10</v>
      </c>
      <c r="C16" s="3" t="s">
        <v>29</v>
      </c>
      <c r="D16" s="7">
        <v>2</v>
      </c>
      <c r="E16" s="7">
        <v>14941455</v>
      </c>
      <c r="F16" s="11">
        <f t="shared" si="0"/>
        <v>0.1</v>
      </c>
      <c r="G16" s="11">
        <f t="shared" si="1"/>
        <v>9.2435844109546375E-2</v>
      </c>
      <c r="H16" s="7">
        <v>2</v>
      </c>
      <c r="I16" s="7">
        <v>15171637</v>
      </c>
      <c r="J16" s="11">
        <f t="shared" si="2"/>
        <v>0.10526315789473684</v>
      </c>
      <c r="K16" s="11">
        <f t="shared" si="3"/>
        <v>9.774676210291329E-2</v>
      </c>
      <c r="L16" s="7">
        <v>2</v>
      </c>
      <c r="M16" s="7">
        <v>15171637</v>
      </c>
      <c r="N16" s="11">
        <f t="shared" si="4"/>
        <v>0.10526315789473684</v>
      </c>
      <c r="O16" s="11">
        <f t="shared" si="5"/>
        <v>9.774676210291329E-2</v>
      </c>
      <c r="P16" s="7"/>
      <c r="Q16" s="7"/>
      <c r="R16" s="11" t="e">
        <f t="shared" si="6"/>
        <v>#DIV/0!</v>
      </c>
      <c r="S16" s="11" t="e">
        <f t="shared" si="7"/>
        <v>#DIV/0!</v>
      </c>
      <c r="T16" s="7"/>
      <c r="U16" s="7"/>
      <c r="V16" s="11" t="e">
        <f t="shared" si="8"/>
        <v>#DIV/0!</v>
      </c>
      <c r="W16" s="11" t="e">
        <f t="shared" si="9"/>
        <v>#DIV/0!</v>
      </c>
      <c r="X16" s="7"/>
      <c r="Y16" s="7"/>
      <c r="Z16" s="11" t="e">
        <f t="shared" si="10"/>
        <v>#DIV/0!</v>
      </c>
      <c r="AA16" s="11" t="e">
        <f t="shared" si="11"/>
        <v>#DIV/0!</v>
      </c>
      <c r="AB16" s="7"/>
      <c r="AC16" s="7"/>
      <c r="AD16" s="11" t="e">
        <f t="shared" si="12"/>
        <v>#DIV/0!</v>
      </c>
      <c r="AE16" s="11" t="e">
        <f t="shared" si="13"/>
        <v>#DIV/0!</v>
      </c>
      <c r="AF16" s="20"/>
      <c r="AG16" s="20"/>
      <c r="AH16" s="11" t="e">
        <f t="shared" si="14"/>
        <v>#DIV/0!</v>
      </c>
      <c r="AI16" s="11" t="e">
        <f t="shared" si="15"/>
        <v>#DIV/0!</v>
      </c>
      <c r="AJ16" s="20"/>
      <c r="AK16" s="7"/>
      <c r="AL16" s="11" t="e">
        <f t="shared" si="16"/>
        <v>#DIV/0!</v>
      </c>
      <c r="AM16" s="11" t="e">
        <f t="shared" si="17"/>
        <v>#DIV/0!</v>
      </c>
      <c r="AN16" s="20"/>
      <c r="AO16" s="7"/>
      <c r="AP16" s="11" t="e">
        <f t="shared" si="18"/>
        <v>#DIV/0!</v>
      </c>
      <c r="AQ16" s="11" t="e">
        <f t="shared" si="19"/>
        <v>#DIV/0!</v>
      </c>
      <c r="AR16" s="20"/>
      <c r="AS16" s="7"/>
      <c r="AT16" s="11" t="e">
        <f t="shared" si="20"/>
        <v>#DIV/0!</v>
      </c>
      <c r="AU16" s="11" t="e">
        <f t="shared" si="21"/>
        <v>#DIV/0!</v>
      </c>
      <c r="AV16" s="20"/>
      <c r="AW16" s="20"/>
      <c r="AX16" s="11" t="e">
        <f t="shared" si="22"/>
        <v>#DIV/0!</v>
      </c>
      <c r="AY16" s="11" t="e">
        <f t="shared" si="23"/>
        <v>#DIV/0!</v>
      </c>
      <c r="AZ16" s="19">
        <f t="shared" si="24"/>
        <v>45284729</v>
      </c>
      <c r="BA16" s="11" t="e">
        <f t="shared" si="25"/>
        <v>#DIV/0!</v>
      </c>
      <c r="BB16" s="11" t="e">
        <f t="shared" si="26"/>
        <v>#DIV/0!</v>
      </c>
    </row>
    <row r="17" spans="2:54" x14ac:dyDescent="0.35">
      <c r="B17" s="3">
        <f t="shared" si="27"/>
        <v>11</v>
      </c>
      <c r="C17" s="3" t="s">
        <v>40</v>
      </c>
      <c r="D17" s="7">
        <v>2</v>
      </c>
      <c r="E17" s="7">
        <v>13622860</v>
      </c>
      <c r="F17" s="11">
        <f t="shared" si="0"/>
        <v>0.1</v>
      </c>
      <c r="G17" s="11">
        <f t="shared" si="1"/>
        <v>8.42783091262648E-2</v>
      </c>
      <c r="H17" s="7">
        <v>2</v>
      </c>
      <c r="I17" s="7">
        <v>13741959</v>
      </c>
      <c r="J17" s="11">
        <f t="shared" si="2"/>
        <v>0.10526315789473684</v>
      </c>
      <c r="K17" s="11">
        <f t="shared" si="3"/>
        <v>8.8535732643813467E-2</v>
      </c>
      <c r="L17" s="7">
        <v>2</v>
      </c>
      <c r="M17" s="7">
        <v>13741959</v>
      </c>
      <c r="N17" s="11">
        <f t="shared" si="4"/>
        <v>0.10526315789473684</v>
      </c>
      <c r="O17" s="11">
        <f t="shared" si="5"/>
        <v>8.8535732643813467E-2</v>
      </c>
      <c r="P17" s="7"/>
      <c r="Q17" s="7"/>
      <c r="R17" s="11" t="e">
        <f t="shared" si="6"/>
        <v>#DIV/0!</v>
      </c>
      <c r="S17" s="11" t="e">
        <f t="shared" si="7"/>
        <v>#DIV/0!</v>
      </c>
      <c r="T17" s="7"/>
      <c r="U17" s="7"/>
      <c r="V17" s="11" t="e">
        <f t="shared" si="8"/>
        <v>#DIV/0!</v>
      </c>
      <c r="W17" s="11" t="e">
        <f t="shared" si="9"/>
        <v>#DIV/0!</v>
      </c>
      <c r="X17" s="7"/>
      <c r="Y17" s="7"/>
      <c r="Z17" s="11" t="e">
        <f t="shared" si="10"/>
        <v>#DIV/0!</v>
      </c>
      <c r="AA17" s="11" t="e">
        <f t="shared" si="11"/>
        <v>#DIV/0!</v>
      </c>
      <c r="AB17" s="7"/>
      <c r="AC17" s="20"/>
      <c r="AD17" s="11" t="e">
        <f t="shared" si="12"/>
        <v>#DIV/0!</v>
      </c>
      <c r="AE17" s="11" t="e">
        <f t="shared" si="13"/>
        <v>#DIV/0!</v>
      </c>
      <c r="AF17" s="20"/>
      <c r="AG17" s="20"/>
      <c r="AH17" s="11" t="e">
        <f t="shared" si="14"/>
        <v>#DIV/0!</v>
      </c>
      <c r="AI17" s="11" t="e">
        <f t="shared" si="15"/>
        <v>#DIV/0!</v>
      </c>
      <c r="AJ17" s="20"/>
      <c r="AK17" s="7"/>
      <c r="AL17" s="11" t="e">
        <f t="shared" si="16"/>
        <v>#DIV/0!</v>
      </c>
      <c r="AM17" s="11" t="e">
        <f t="shared" si="17"/>
        <v>#DIV/0!</v>
      </c>
      <c r="AN17" s="20"/>
      <c r="AO17" s="7"/>
      <c r="AP17" s="11" t="e">
        <f t="shared" si="18"/>
        <v>#DIV/0!</v>
      </c>
      <c r="AQ17" s="11" t="e">
        <f t="shared" si="19"/>
        <v>#DIV/0!</v>
      </c>
      <c r="AR17" s="20"/>
      <c r="AS17" s="7"/>
      <c r="AT17" s="11" t="e">
        <f t="shared" si="20"/>
        <v>#DIV/0!</v>
      </c>
      <c r="AU17" s="11" t="e">
        <f t="shared" si="21"/>
        <v>#DIV/0!</v>
      </c>
      <c r="AV17" s="20"/>
      <c r="AW17" s="20"/>
      <c r="AX17" s="11" t="e">
        <f t="shared" si="22"/>
        <v>#DIV/0!</v>
      </c>
      <c r="AY17" s="11" t="e">
        <f t="shared" si="23"/>
        <v>#DIV/0!</v>
      </c>
      <c r="AZ17" s="19">
        <f t="shared" si="24"/>
        <v>41106778</v>
      </c>
      <c r="BA17" s="11" t="e">
        <f t="shared" si="25"/>
        <v>#DIV/0!</v>
      </c>
      <c r="BB17" s="11" t="e">
        <f t="shared" si="26"/>
        <v>#DIV/0!</v>
      </c>
    </row>
    <row r="18" spans="2:54" x14ac:dyDescent="0.35">
      <c r="B18" s="3">
        <f t="shared" si="27"/>
        <v>12</v>
      </c>
      <c r="C18" s="3" t="s">
        <v>41</v>
      </c>
      <c r="D18" s="7"/>
      <c r="E18" s="7"/>
      <c r="F18" s="11">
        <f t="shared" si="0"/>
        <v>0</v>
      </c>
      <c r="G18" s="11">
        <f t="shared" si="1"/>
        <v>0</v>
      </c>
      <c r="H18" s="7"/>
      <c r="I18" s="7"/>
      <c r="J18" s="11">
        <f t="shared" si="2"/>
        <v>0</v>
      </c>
      <c r="K18" s="11">
        <f t="shared" si="3"/>
        <v>0</v>
      </c>
      <c r="L18" s="7"/>
      <c r="M18" s="7"/>
      <c r="N18" s="11">
        <f t="shared" si="4"/>
        <v>0</v>
      </c>
      <c r="O18" s="11">
        <f t="shared" si="5"/>
        <v>0</v>
      </c>
      <c r="P18" s="7"/>
      <c r="Q18" s="7"/>
      <c r="R18" s="11" t="e">
        <f t="shared" si="6"/>
        <v>#DIV/0!</v>
      </c>
      <c r="S18" s="11" t="e">
        <f t="shared" si="7"/>
        <v>#DIV/0!</v>
      </c>
      <c r="T18" s="7"/>
      <c r="U18" s="7"/>
      <c r="V18" s="11" t="e">
        <f t="shared" si="8"/>
        <v>#DIV/0!</v>
      </c>
      <c r="W18" s="11" t="e">
        <f t="shared" si="9"/>
        <v>#DIV/0!</v>
      </c>
      <c r="X18" s="7"/>
      <c r="Y18" s="7"/>
      <c r="Z18" s="11" t="e">
        <f t="shared" si="10"/>
        <v>#DIV/0!</v>
      </c>
      <c r="AA18" s="11" t="e">
        <f t="shared" si="11"/>
        <v>#DIV/0!</v>
      </c>
      <c r="AB18" s="7"/>
      <c r="AC18" s="7"/>
      <c r="AD18" s="11" t="e">
        <f t="shared" si="12"/>
        <v>#DIV/0!</v>
      </c>
      <c r="AE18" s="11" t="e">
        <f t="shared" si="13"/>
        <v>#DIV/0!</v>
      </c>
      <c r="AF18" s="20"/>
      <c r="AG18" s="20"/>
      <c r="AH18" s="11" t="e">
        <f t="shared" si="14"/>
        <v>#DIV/0!</v>
      </c>
      <c r="AI18" s="11" t="e">
        <f t="shared" si="15"/>
        <v>#DIV/0!</v>
      </c>
      <c r="AJ18" s="20"/>
      <c r="AK18" s="7"/>
      <c r="AL18" s="11" t="e">
        <f t="shared" si="16"/>
        <v>#DIV/0!</v>
      </c>
      <c r="AM18" s="11" t="e">
        <f t="shared" si="17"/>
        <v>#DIV/0!</v>
      </c>
      <c r="AN18" s="20"/>
      <c r="AO18" s="7"/>
      <c r="AP18" s="11" t="e">
        <f t="shared" si="18"/>
        <v>#DIV/0!</v>
      </c>
      <c r="AQ18" s="11" t="e">
        <f t="shared" si="19"/>
        <v>#DIV/0!</v>
      </c>
      <c r="AR18" s="20"/>
      <c r="AS18" s="7"/>
      <c r="AT18" s="11" t="e">
        <f t="shared" si="20"/>
        <v>#DIV/0!</v>
      </c>
      <c r="AU18" s="11" t="e">
        <f t="shared" si="21"/>
        <v>#DIV/0!</v>
      </c>
      <c r="AV18" s="20"/>
      <c r="AW18" s="20"/>
      <c r="AX18" s="11" t="e">
        <f t="shared" si="22"/>
        <v>#DIV/0!</v>
      </c>
      <c r="AY18" s="11" t="e">
        <f t="shared" si="23"/>
        <v>#DIV/0!</v>
      </c>
      <c r="AZ18" s="19">
        <f t="shared" si="24"/>
        <v>0</v>
      </c>
      <c r="BA18" s="11" t="e">
        <f t="shared" si="25"/>
        <v>#DIV/0!</v>
      </c>
      <c r="BB18" s="11" t="e">
        <f t="shared" si="26"/>
        <v>#DIV/0!</v>
      </c>
    </row>
    <row r="19" spans="2:54" x14ac:dyDescent="0.35">
      <c r="B19" s="3">
        <f t="shared" si="27"/>
        <v>13</v>
      </c>
      <c r="C19" s="3" t="s">
        <v>23</v>
      </c>
      <c r="D19" s="7">
        <v>3</v>
      </c>
      <c r="E19" s="7">
        <v>21915013</v>
      </c>
      <c r="F19" s="11">
        <f t="shared" si="0"/>
        <v>0.15</v>
      </c>
      <c r="G19" s="11">
        <f t="shared" si="1"/>
        <v>0.13557800932550962</v>
      </c>
      <c r="H19" s="7">
        <v>3</v>
      </c>
      <c r="I19" s="7">
        <v>17165669</v>
      </c>
      <c r="J19" s="11">
        <f t="shared" si="2"/>
        <v>0.15789473684210525</v>
      </c>
      <c r="K19" s="11">
        <f t="shared" si="3"/>
        <v>0.11059377205507576</v>
      </c>
      <c r="L19" s="7">
        <v>3</v>
      </c>
      <c r="M19" s="7">
        <v>17165669</v>
      </c>
      <c r="N19" s="11">
        <f t="shared" si="4"/>
        <v>0.15789473684210525</v>
      </c>
      <c r="O19" s="11">
        <f t="shared" si="5"/>
        <v>0.11059377205507576</v>
      </c>
      <c r="P19" s="7"/>
      <c r="Q19" s="7"/>
      <c r="R19" s="11" t="e">
        <f t="shared" si="6"/>
        <v>#DIV/0!</v>
      </c>
      <c r="S19" s="11" t="e">
        <f t="shared" si="7"/>
        <v>#DIV/0!</v>
      </c>
      <c r="T19" s="7"/>
      <c r="U19" s="7"/>
      <c r="V19" s="11" t="e">
        <f t="shared" si="8"/>
        <v>#DIV/0!</v>
      </c>
      <c r="W19" s="11" t="e">
        <f t="shared" si="9"/>
        <v>#DIV/0!</v>
      </c>
      <c r="X19" s="7"/>
      <c r="Y19" s="7"/>
      <c r="Z19" s="11" t="e">
        <f t="shared" si="10"/>
        <v>#DIV/0!</v>
      </c>
      <c r="AA19" s="11" t="e">
        <f t="shared" si="11"/>
        <v>#DIV/0!</v>
      </c>
      <c r="AB19" s="7"/>
      <c r="AC19" s="7"/>
      <c r="AD19" s="11" t="e">
        <f t="shared" si="12"/>
        <v>#DIV/0!</v>
      </c>
      <c r="AE19" s="11" t="e">
        <f t="shared" si="13"/>
        <v>#DIV/0!</v>
      </c>
      <c r="AF19" s="20"/>
      <c r="AG19" s="20"/>
      <c r="AH19" s="11" t="e">
        <f t="shared" si="14"/>
        <v>#DIV/0!</v>
      </c>
      <c r="AI19" s="11" t="e">
        <f t="shared" si="15"/>
        <v>#DIV/0!</v>
      </c>
      <c r="AJ19" s="20"/>
      <c r="AK19" s="7"/>
      <c r="AL19" s="11" t="e">
        <f t="shared" si="16"/>
        <v>#DIV/0!</v>
      </c>
      <c r="AM19" s="11" t="e">
        <f t="shared" si="17"/>
        <v>#DIV/0!</v>
      </c>
      <c r="AN19" s="20"/>
      <c r="AO19" s="7"/>
      <c r="AP19" s="11" t="e">
        <f t="shared" si="18"/>
        <v>#DIV/0!</v>
      </c>
      <c r="AQ19" s="11" t="e">
        <f t="shared" si="19"/>
        <v>#DIV/0!</v>
      </c>
      <c r="AR19" s="20"/>
      <c r="AS19" s="7"/>
      <c r="AT19" s="11" t="e">
        <f t="shared" si="20"/>
        <v>#DIV/0!</v>
      </c>
      <c r="AU19" s="11" t="e">
        <f t="shared" si="21"/>
        <v>#DIV/0!</v>
      </c>
      <c r="AV19" s="20"/>
      <c r="AW19" s="20"/>
      <c r="AX19" s="11" t="e">
        <f t="shared" si="22"/>
        <v>#DIV/0!</v>
      </c>
      <c r="AY19" s="11" t="e">
        <f t="shared" si="23"/>
        <v>#DIV/0!</v>
      </c>
      <c r="AZ19" s="19">
        <f t="shared" si="24"/>
        <v>56246351</v>
      </c>
      <c r="BA19" s="11" t="e">
        <f t="shared" si="25"/>
        <v>#DIV/0!</v>
      </c>
      <c r="BB19" s="11" t="e">
        <f t="shared" si="26"/>
        <v>#DIV/0!</v>
      </c>
    </row>
    <row r="20" spans="2:54" x14ac:dyDescent="0.35">
      <c r="B20" s="3">
        <f t="shared" si="27"/>
        <v>14</v>
      </c>
      <c r="C20" s="3" t="s">
        <v>24</v>
      </c>
      <c r="D20" s="7"/>
      <c r="E20" s="7"/>
      <c r="F20" s="11">
        <f t="shared" si="0"/>
        <v>0</v>
      </c>
      <c r="G20" s="11">
        <f t="shared" si="1"/>
        <v>0</v>
      </c>
      <c r="H20" s="7"/>
      <c r="I20" s="7"/>
      <c r="J20" s="11">
        <f t="shared" si="2"/>
        <v>0</v>
      </c>
      <c r="K20" s="11">
        <f t="shared" si="3"/>
        <v>0</v>
      </c>
      <c r="L20" s="7"/>
      <c r="M20" s="7"/>
      <c r="N20" s="11">
        <f t="shared" si="4"/>
        <v>0</v>
      </c>
      <c r="O20" s="11">
        <f t="shared" si="5"/>
        <v>0</v>
      </c>
      <c r="P20" s="7"/>
      <c r="Q20" s="7"/>
      <c r="R20" s="11" t="e">
        <f t="shared" si="6"/>
        <v>#DIV/0!</v>
      </c>
      <c r="S20" s="11" t="e">
        <f t="shared" si="7"/>
        <v>#DIV/0!</v>
      </c>
      <c r="T20" s="7"/>
      <c r="U20" s="7"/>
      <c r="V20" s="11" t="e">
        <f t="shared" si="8"/>
        <v>#DIV/0!</v>
      </c>
      <c r="W20" s="11" t="e">
        <f t="shared" si="9"/>
        <v>#DIV/0!</v>
      </c>
      <c r="X20" s="7"/>
      <c r="Y20" s="7"/>
      <c r="Z20" s="11" t="e">
        <f t="shared" si="10"/>
        <v>#DIV/0!</v>
      </c>
      <c r="AA20" s="11" t="e">
        <f t="shared" si="11"/>
        <v>#DIV/0!</v>
      </c>
      <c r="AB20" s="7"/>
      <c r="AC20" s="7"/>
      <c r="AD20" s="11" t="e">
        <f t="shared" si="12"/>
        <v>#DIV/0!</v>
      </c>
      <c r="AE20" s="11" t="e">
        <f t="shared" si="13"/>
        <v>#DIV/0!</v>
      </c>
      <c r="AF20" s="20"/>
      <c r="AG20" s="20"/>
      <c r="AH20" s="11" t="e">
        <f t="shared" si="14"/>
        <v>#DIV/0!</v>
      </c>
      <c r="AI20" s="11" t="e">
        <f t="shared" si="15"/>
        <v>#DIV/0!</v>
      </c>
      <c r="AJ20" s="20"/>
      <c r="AK20" s="7"/>
      <c r="AL20" s="11" t="e">
        <f t="shared" si="16"/>
        <v>#DIV/0!</v>
      </c>
      <c r="AM20" s="11" t="e">
        <f t="shared" si="17"/>
        <v>#DIV/0!</v>
      </c>
      <c r="AN20" s="20"/>
      <c r="AO20" s="7"/>
      <c r="AP20" s="11" t="e">
        <f t="shared" si="18"/>
        <v>#DIV/0!</v>
      </c>
      <c r="AQ20" s="11" t="e">
        <f t="shared" si="19"/>
        <v>#DIV/0!</v>
      </c>
      <c r="AR20" s="20"/>
      <c r="AS20" s="7"/>
      <c r="AT20" s="11" t="e">
        <f t="shared" si="20"/>
        <v>#DIV/0!</v>
      </c>
      <c r="AU20" s="11" t="e">
        <f t="shared" si="21"/>
        <v>#DIV/0!</v>
      </c>
      <c r="AV20" s="20"/>
      <c r="AW20" s="20"/>
      <c r="AX20" s="11" t="e">
        <f t="shared" si="22"/>
        <v>#DIV/0!</v>
      </c>
      <c r="AY20" s="11" t="e">
        <f t="shared" si="23"/>
        <v>#DIV/0!</v>
      </c>
      <c r="AZ20" s="19">
        <f t="shared" si="24"/>
        <v>0</v>
      </c>
      <c r="BA20" s="11" t="e">
        <f t="shared" si="25"/>
        <v>#DIV/0!</v>
      </c>
      <c r="BB20" s="11" t="e">
        <f t="shared" si="26"/>
        <v>#DIV/0!</v>
      </c>
    </row>
    <row r="21" spans="2:54" x14ac:dyDescent="0.35">
      <c r="B21" s="3">
        <f t="shared" si="27"/>
        <v>15</v>
      </c>
      <c r="C21" s="3" t="s">
        <v>25</v>
      </c>
      <c r="D21" s="7"/>
      <c r="E21" s="7"/>
      <c r="F21" s="11">
        <f t="shared" si="0"/>
        <v>0</v>
      </c>
      <c r="G21" s="11">
        <f t="shared" si="1"/>
        <v>0</v>
      </c>
      <c r="H21" s="7"/>
      <c r="I21" s="7"/>
      <c r="J21" s="11">
        <f t="shared" si="2"/>
        <v>0</v>
      </c>
      <c r="K21" s="11">
        <f t="shared" si="3"/>
        <v>0</v>
      </c>
      <c r="L21" s="7"/>
      <c r="M21" s="7"/>
      <c r="N21" s="11">
        <f t="shared" si="4"/>
        <v>0</v>
      </c>
      <c r="O21" s="11">
        <f t="shared" si="5"/>
        <v>0</v>
      </c>
      <c r="P21" s="7"/>
      <c r="Q21" s="7"/>
      <c r="R21" s="11" t="e">
        <f t="shared" si="6"/>
        <v>#DIV/0!</v>
      </c>
      <c r="S21" s="11" t="e">
        <f t="shared" si="7"/>
        <v>#DIV/0!</v>
      </c>
      <c r="T21" s="7"/>
      <c r="U21" s="7"/>
      <c r="V21" s="11" t="e">
        <f t="shared" si="8"/>
        <v>#DIV/0!</v>
      </c>
      <c r="W21" s="11" t="e">
        <f t="shared" si="9"/>
        <v>#DIV/0!</v>
      </c>
      <c r="X21" s="7"/>
      <c r="Y21" s="7"/>
      <c r="Z21" s="11" t="e">
        <f t="shared" si="10"/>
        <v>#DIV/0!</v>
      </c>
      <c r="AA21" s="11" t="e">
        <f t="shared" si="11"/>
        <v>#DIV/0!</v>
      </c>
      <c r="AB21" s="7"/>
      <c r="AC21" s="7"/>
      <c r="AD21" s="11" t="e">
        <f t="shared" si="12"/>
        <v>#DIV/0!</v>
      </c>
      <c r="AE21" s="11" t="e">
        <f t="shared" si="13"/>
        <v>#DIV/0!</v>
      </c>
      <c r="AF21" s="7"/>
      <c r="AG21" s="7"/>
      <c r="AH21" s="11" t="e">
        <f t="shared" si="14"/>
        <v>#DIV/0!</v>
      </c>
      <c r="AI21" s="11" t="e">
        <f t="shared" si="15"/>
        <v>#DIV/0!</v>
      </c>
      <c r="AJ21" s="7"/>
      <c r="AK21" s="7"/>
      <c r="AL21" s="11" t="e">
        <f t="shared" si="16"/>
        <v>#DIV/0!</v>
      </c>
      <c r="AM21" s="11" t="e">
        <f t="shared" si="17"/>
        <v>#DIV/0!</v>
      </c>
      <c r="AN21" s="20"/>
      <c r="AO21" s="7"/>
      <c r="AP21" s="11" t="e">
        <f t="shared" si="18"/>
        <v>#DIV/0!</v>
      </c>
      <c r="AQ21" s="11" t="e">
        <f t="shared" si="19"/>
        <v>#DIV/0!</v>
      </c>
      <c r="AR21" s="20"/>
      <c r="AS21" s="7"/>
      <c r="AT21" s="11" t="e">
        <f t="shared" si="20"/>
        <v>#DIV/0!</v>
      </c>
      <c r="AU21" s="11" t="e">
        <f t="shared" si="21"/>
        <v>#DIV/0!</v>
      </c>
      <c r="AV21" s="20"/>
      <c r="AW21" s="20"/>
      <c r="AX21" s="11" t="e">
        <f t="shared" si="22"/>
        <v>#DIV/0!</v>
      </c>
      <c r="AY21" s="11" t="e">
        <f t="shared" si="23"/>
        <v>#DIV/0!</v>
      </c>
      <c r="AZ21" s="19">
        <f t="shared" si="24"/>
        <v>0</v>
      </c>
      <c r="BA21" s="11" t="e">
        <f t="shared" si="25"/>
        <v>#DIV/0!</v>
      </c>
      <c r="BB21" s="11" t="e">
        <f t="shared" si="26"/>
        <v>#DIV/0!</v>
      </c>
    </row>
    <row r="22" spans="2:54" x14ac:dyDescent="0.35">
      <c r="B22" s="3">
        <f t="shared" si="27"/>
        <v>16</v>
      </c>
      <c r="C22" s="3" t="s">
        <v>26</v>
      </c>
      <c r="D22" s="7"/>
      <c r="E22" s="7"/>
      <c r="F22" s="11">
        <f t="shared" si="0"/>
        <v>0</v>
      </c>
      <c r="G22" s="11">
        <f t="shared" si="1"/>
        <v>0</v>
      </c>
      <c r="H22" s="7"/>
      <c r="I22" s="7"/>
      <c r="J22" s="11">
        <f t="shared" si="2"/>
        <v>0</v>
      </c>
      <c r="K22" s="11">
        <f t="shared" si="3"/>
        <v>0</v>
      </c>
      <c r="L22" s="7"/>
      <c r="M22" s="7"/>
      <c r="N22" s="11">
        <f t="shared" si="4"/>
        <v>0</v>
      </c>
      <c r="O22" s="11">
        <f t="shared" si="5"/>
        <v>0</v>
      </c>
      <c r="P22" s="7"/>
      <c r="Q22" s="7"/>
      <c r="R22" s="11" t="e">
        <f t="shared" si="6"/>
        <v>#DIV/0!</v>
      </c>
      <c r="S22" s="11" t="e">
        <f t="shared" si="7"/>
        <v>#DIV/0!</v>
      </c>
      <c r="T22" s="7"/>
      <c r="U22" s="7"/>
      <c r="V22" s="11" t="e">
        <f t="shared" si="8"/>
        <v>#DIV/0!</v>
      </c>
      <c r="W22" s="11" t="e">
        <f t="shared" si="9"/>
        <v>#DIV/0!</v>
      </c>
      <c r="X22" s="7"/>
      <c r="Y22" s="7"/>
      <c r="Z22" s="11" t="e">
        <f t="shared" si="10"/>
        <v>#DIV/0!</v>
      </c>
      <c r="AA22" s="11" t="e">
        <f t="shared" si="11"/>
        <v>#DIV/0!</v>
      </c>
      <c r="AB22" s="7"/>
      <c r="AC22" s="7"/>
      <c r="AD22" s="11" t="e">
        <f t="shared" si="12"/>
        <v>#DIV/0!</v>
      </c>
      <c r="AE22" s="11" t="e">
        <f t="shared" si="13"/>
        <v>#DIV/0!</v>
      </c>
      <c r="AF22" s="7"/>
      <c r="AG22" s="7"/>
      <c r="AH22" s="11" t="e">
        <f t="shared" si="14"/>
        <v>#DIV/0!</v>
      </c>
      <c r="AI22" s="11" t="e">
        <f t="shared" si="15"/>
        <v>#DIV/0!</v>
      </c>
      <c r="AJ22" s="7"/>
      <c r="AK22" s="7"/>
      <c r="AL22" s="11" t="e">
        <f t="shared" si="16"/>
        <v>#DIV/0!</v>
      </c>
      <c r="AM22" s="11" t="e">
        <f t="shared" si="17"/>
        <v>#DIV/0!</v>
      </c>
      <c r="AN22" s="20"/>
      <c r="AO22" s="7"/>
      <c r="AP22" s="11" t="e">
        <f t="shared" si="18"/>
        <v>#DIV/0!</v>
      </c>
      <c r="AQ22" s="11" t="e">
        <f t="shared" si="19"/>
        <v>#DIV/0!</v>
      </c>
      <c r="AR22" s="20"/>
      <c r="AS22" s="7"/>
      <c r="AT22" s="11" t="e">
        <f t="shared" si="20"/>
        <v>#DIV/0!</v>
      </c>
      <c r="AU22" s="11" t="e">
        <f t="shared" si="21"/>
        <v>#DIV/0!</v>
      </c>
      <c r="AV22" s="20"/>
      <c r="AW22" s="20"/>
      <c r="AX22" s="11" t="e">
        <f t="shared" si="22"/>
        <v>#DIV/0!</v>
      </c>
      <c r="AY22" s="11" t="e">
        <f t="shared" si="23"/>
        <v>#DIV/0!</v>
      </c>
      <c r="AZ22" s="19">
        <f t="shared" si="24"/>
        <v>0</v>
      </c>
      <c r="BA22" s="11" t="e">
        <f t="shared" si="25"/>
        <v>#DIV/0!</v>
      </c>
      <c r="BB22" s="11" t="e">
        <f t="shared" si="26"/>
        <v>#DIV/0!</v>
      </c>
    </row>
    <row r="23" spans="2:54" x14ac:dyDescent="0.35">
      <c r="B23" s="18"/>
      <c r="C23" s="18"/>
      <c r="D23" s="18"/>
      <c r="E23" s="17"/>
      <c r="F23" s="7"/>
      <c r="G23" s="7"/>
      <c r="H23" s="17"/>
      <c r="I23" s="17"/>
      <c r="J23" s="7"/>
      <c r="K23" s="7"/>
      <c r="L23" s="17"/>
      <c r="M23" s="17"/>
      <c r="N23" s="7"/>
      <c r="O23" s="7"/>
      <c r="P23" s="17"/>
      <c r="Q23" s="17"/>
      <c r="R23" s="7"/>
      <c r="S23" s="7"/>
      <c r="T23" s="17"/>
      <c r="U23" s="17"/>
      <c r="V23" s="7"/>
      <c r="W23" s="7"/>
      <c r="X23" s="17"/>
      <c r="Y23" s="17"/>
      <c r="Z23" s="7"/>
      <c r="AA23" s="7"/>
      <c r="AB23" s="17"/>
      <c r="AC23" s="17"/>
      <c r="AD23" s="7"/>
      <c r="AE23" s="7"/>
      <c r="AF23" s="17"/>
      <c r="AG23" s="17"/>
      <c r="AH23" s="7"/>
      <c r="AI23" s="7"/>
      <c r="AJ23" s="17"/>
      <c r="AK23" s="17"/>
      <c r="AL23" s="7"/>
      <c r="AM23" s="7"/>
      <c r="AN23" s="17"/>
      <c r="AO23" s="17"/>
      <c r="AP23" s="7"/>
      <c r="AQ23" s="7"/>
      <c r="AR23" s="20"/>
      <c r="AS23" s="7"/>
      <c r="AT23" s="7"/>
      <c r="AU23" s="7"/>
      <c r="AV23" s="17"/>
      <c r="AW23" s="17"/>
      <c r="AX23" s="7"/>
      <c r="AY23" s="7"/>
      <c r="AZ23" s="17"/>
      <c r="BA23" s="7"/>
      <c r="BB23" s="7"/>
    </row>
    <row r="24" spans="2:54" x14ac:dyDescent="0.35">
      <c r="B24" s="4"/>
      <c r="C24" s="4" t="s">
        <v>12</v>
      </c>
      <c r="D24" s="5">
        <f>SUM(D7:D23)</f>
        <v>20</v>
      </c>
      <c r="E24" s="5">
        <f t="shared" ref="E24:AU24" si="28">SUM(E7:E23)</f>
        <v>161641354</v>
      </c>
      <c r="F24" s="10">
        <f t="shared" si="28"/>
        <v>1</v>
      </c>
      <c r="G24" s="10">
        <f t="shared" si="28"/>
        <v>1</v>
      </c>
      <c r="H24" s="5">
        <f t="shared" si="28"/>
        <v>19</v>
      </c>
      <c r="I24" s="5">
        <f t="shared" si="28"/>
        <v>155213704</v>
      </c>
      <c r="J24" s="10">
        <f t="shared" si="28"/>
        <v>1</v>
      </c>
      <c r="K24" s="10">
        <f t="shared" si="28"/>
        <v>1</v>
      </c>
      <c r="L24" s="5">
        <f t="shared" si="28"/>
        <v>19</v>
      </c>
      <c r="M24" s="5">
        <f t="shared" si="28"/>
        <v>155213704</v>
      </c>
      <c r="N24" s="10">
        <f t="shared" si="28"/>
        <v>1</v>
      </c>
      <c r="O24" s="10">
        <f t="shared" si="28"/>
        <v>1</v>
      </c>
      <c r="P24" s="5">
        <f t="shared" si="28"/>
        <v>0</v>
      </c>
      <c r="Q24" s="5">
        <f t="shared" si="28"/>
        <v>0</v>
      </c>
      <c r="R24" s="10" t="e">
        <f t="shared" si="28"/>
        <v>#DIV/0!</v>
      </c>
      <c r="S24" s="10" t="e">
        <f t="shared" si="28"/>
        <v>#DIV/0!</v>
      </c>
      <c r="T24" s="5">
        <f t="shared" si="28"/>
        <v>0</v>
      </c>
      <c r="U24" s="5">
        <f t="shared" si="28"/>
        <v>0</v>
      </c>
      <c r="V24" s="10" t="e">
        <f t="shared" si="28"/>
        <v>#DIV/0!</v>
      </c>
      <c r="W24" s="10" t="e">
        <f t="shared" si="28"/>
        <v>#DIV/0!</v>
      </c>
      <c r="X24" s="5">
        <f t="shared" si="28"/>
        <v>0</v>
      </c>
      <c r="Y24" s="5">
        <f t="shared" si="28"/>
        <v>0</v>
      </c>
      <c r="Z24" s="10" t="e">
        <f t="shared" si="28"/>
        <v>#DIV/0!</v>
      </c>
      <c r="AA24" s="10" t="e">
        <f t="shared" si="28"/>
        <v>#DIV/0!</v>
      </c>
      <c r="AB24" s="5">
        <f t="shared" si="28"/>
        <v>0</v>
      </c>
      <c r="AC24" s="5">
        <f t="shared" si="28"/>
        <v>0</v>
      </c>
      <c r="AD24" s="10" t="e">
        <f t="shared" si="28"/>
        <v>#DIV/0!</v>
      </c>
      <c r="AE24" s="10" t="e">
        <f t="shared" si="28"/>
        <v>#DIV/0!</v>
      </c>
      <c r="AF24" s="5">
        <f t="shared" si="28"/>
        <v>0</v>
      </c>
      <c r="AG24" s="5">
        <f t="shared" si="28"/>
        <v>0</v>
      </c>
      <c r="AH24" s="10" t="e">
        <f t="shared" si="28"/>
        <v>#DIV/0!</v>
      </c>
      <c r="AI24" s="10" t="e">
        <f t="shared" si="28"/>
        <v>#DIV/0!</v>
      </c>
      <c r="AJ24" s="5">
        <f t="shared" si="28"/>
        <v>0</v>
      </c>
      <c r="AK24" s="5">
        <f t="shared" si="28"/>
        <v>0</v>
      </c>
      <c r="AL24" s="10" t="e">
        <f t="shared" si="28"/>
        <v>#DIV/0!</v>
      </c>
      <c r="AM24" s="10" t="e">
        <f t="shared" si="28"/>
        <v>#DIV/0!</v>
      </c>
      <c r="AN24" s="5">
        <f t="shared" si="28"/>
        <v>0</v>
      </c>
      <c r="AO24" s="5">
        <f t="shared" si="28"/>
        <v>0</v>
      </c>
      <c r="AP24" s="10" t="e">
        <f t="shared" si="28"/>
        <v>#DIV/0!</v>
      </c>
      <c r="AQ24" s="10" t="e">
        <f t="shared" si="28"/>
        <v>#DIV/0!</v>
      </c>
      <c r="AR24" s="5">
        <f t="shared" si="28"/>
        <v>0</v>
      </c>
      <c r="AS24" s="5">
        <f t="shared" si="28"/>
        <v>0</v>
      </c>
      <c r="AT24" s="10" t="e">
        <f t="shared" si="28"/>
        <v>#DIV/0!</v>
      </c>
      <c r="AU24" s="10" t="e">
        <f t="shared" si="28"/>
        <v>#DIV/0!</v>
      </c>
      <c r="AV24" s="5">
        <f>SUM(AV7:AV22)</f>
        <v>0</v>
      </c>
      <c r="AW24" s="5">
        <f t="shared" ref="AW24:BB24" si="29">SUM(AW7:AW23)</f>
        <v>0</v>
      </c>
      <c r="AX24" s="10" t="e">
        <f t="shared" si="29"/>
        <v>#DIV/0!</v>
      </c>
      <c r="AY24" s="10" t="e">
        <f t="shared" si="29"/>
        <v>#DIV/0!</v>
      </c>
      <c r="AZ24" s="5">
        <f t="shared" si="29"/>
        <v>472068762</v>
      </c>
      <c r="BA24" s="10" t="e">
        <f t="shared" si="29"/>
        <v>#DIV/0!</v>
      </c>
      <c r="BB24" s="10" t="e">
        <f t="shared" si="29"/>
        <v>#DIV/0!</v>
      </c>
    </row>
    <row r="25" spans="2:54" x14ac:dyDescent="0.35">
      <c r="E25" s="1">
        <v>6013343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x14ac:dyDescent="0.35">
      <c r="E26" s="1">
        <v>5298168</v>
      </c>
      <c r="Y26" s="8"/>
    </row>
    <row r="28" spans="2:54" x14ac:dyDescent="0.35">
      <c r="V28" s="8"/>
      <c r="Y28" s="8"/>
    </row>
    <row r="29" spans="2:54" x14ac:dyDescent="0.35">
      <c r="V29" s="8"/>
    </row>
    <row r="30" spans="2:54" x14ac:dyDescent="0.35">
      <c r="V30" s="8"/>
    </row>
  </sheetData>
  <mergeCells count="12">
    <mergeCell ref="T5:U5"/>
    <mergeCell ref="D5:G5"/>
    <mergeCell ref="H5:I5"/>
    <mergeCell ref="L5:M5"/>
    <mergeCell ref="P5:Q5"/>
    <mergeCell ref="AV5:AW5"/>
    <mergeCell ref="X5:Y5"/>
    <mergeCell ref="AB5:AC5"/>
    <mergeCell ref="AF5:AG5"/>
    <mergeCell ref="AJ5:AK5"/>
    <mergeCell ref="AN5:AO5"/>
    <mergeCell ref="AR5:AS5"/>
  </mergeCells>
  <conditionalFormatting sqref="E7:E12 E14:E23">
    <cfRule type="top10" dxfId="57" priority="654" rank="1"/>
    <cfRule type="top10" dxfId="56" priority="653" bottom="1" rank="1"/>
  </conditionalFormatting>
  <conditionalFormatting sqref="E13">
    <cfRule type="top10" dxfId="55" priority="33" bottom="1" rank="1"/>
    <cfRule type="top10" dxfId="54" priority="34" rank="1"/>
  </conditionalFormatting>
  <conditionalFormatting sqref="I7:I12 I14:I23">
    <cfRule type="top10" dxfId="53" priority="658" rank="1"/>
    <cfRule type="top10" dxfId="52" priority="657" bottom="1" rank="1"/>
  </conditionalFormatting>
  <conditionalFormatting sqref="I13">
    <cfRule type="top10" dxfId="51" priority="31" bottom="1" rank="1"/>
    <cfRule type="top10" dxfId="50" priority="32" rank="1"/>
  </conditionalFormatting>
  <conditionalFormatting sqref="M7:M12 M14:M23">
    <cfRule type="top10" dxfId="49" priority="662" rank="1"/>
    <cfRule type="top10" dxfId="48" priority="661" bottom="1" rank="1"/>
  </conditionalFormatting>
  <conditionalFormatting sqref="M13">
    <cfRule type="top10" dxfId="47" priority="29" bottom="1" rank="1"/>
    <cfRule type="top10" dxfId="46" priority="30" rank="1"/>
  </conditionalFormatting>
  <conditionalFormatting sqref="Q7:Q12 Q14:Q23">
    <cfRule type="top10" dxfId="45" priority="666" rank="1"/>
    <cfRule type="top10" dxfId="44" priority="665" bottom="1" rank="1"/>
  </conditionalFormatting>
  <conditionalFormatting sqref="Q13">
    <cfRule type="top10" dxfId="43" priority="27" bottom="1" rank="1"/>
    <cfRule type="top10" dxfId="42" priority="28" rank="1"/>
  </conditionalFormatting>
  <conditionalFormatting sqref="U7:U12 U14:U23">
    <cfRule type="top10" dxfId="41" priority="669" bottom="1" rank="1"/>
    <cfRule type="top10" dxfId="40" priority="670" rank="1"/>
  </conditionalFormatting>
  <conditionalFormatting sqref="U13">
    <cfRule type="top10" dxfId="39" priority="26" rank="1"/>
    <cfRule type="top10" dxfId="38" priority="25" bottom="1" rank="1"/>
  </conditionalFormatting>
  <conditionalFormatting sqref="Y7:Y12 Y14:Y23">
    <cfRule type="top10" dxfId="37" priority="673" bottom="1" rank="1"/>
    <cfRule type="top10" dxfId="36" priority="674" rank="1"/>
  </conditionalFormatting>
  <conditionalFormatting sqref="Y13">
    <cfRule type="top10" dxfId="35" priority="24" rank="1"/>
    <cfRule type="top10" dxfId="34" priority="23" bottom="1" rank="1"/>
  </conditionalFormatting>
  <conditionalFormatting sqref="AC7:AC12 AC14:AC23">
    <cfRule type="top10" dxfId="33" priority="678" rank="1"/>
    <cfRule type="top10" dxfId="32" priority="677" bottom="1" rank="1"/>
  </conditionalFormatting>
  <conditionalFormatting sqref="AC13">
    <cfRule type="top10" dxfId="31" priority="21" bottom="1" rank="1"/>
    <cfRule type="top10" dxfId="30" priority="22" rank="1"/>
  </conditionalFormatting>
  <conditionalFormatting sqref="AG11">
    <cfRule type="top10" dxfId="29" priority="18" rank="1"/>
    <cfRule type="top10" dxfId="28" priority="17" bottom="1" rank="1"/>
  </conditionalFormatting>
  <conditionalFormatting sqref="AG16">
    <cfRule type="top10" dxfId="27" priority="20" rank="1"/>
    <cfRule type="top10" dxfId="26" priority="19" bottom="1" rank="1"/>
  </conditionalFormatting>
  <conditionalFormatting sqref="AG17:AG20 AG7:AG10 AG12:AG15 AG23">
    <cfRule type="top10" dxfId="25" priority="63" bottom="1" rank="1"/>
    <cfRule type="top10" dxfId="24" priority="64" rank="1"/>
  </conditionalFormatting>
  <conditionalFormatting sqref="AG21">
    <cfRule type="top10" dxfId="23" priority="11" bottom="1" rank="1"/>
    <cfRule type="top10" dxfId="22" priority="12" rank="1"/>
  </conditionalFormatting>
  <conditionalFormatting sqref="AG22">
    <cfRule type="top10" dxfId="21" priority="10" rank="1"/>
    <cfRule type="top10" dxfId="20" priority="9" bottom="1" rank="1"/>
  </conditionalFormatting>
  <conditionalFormatting sqref="AK9">
    <cfRule type="top10" dxfId="19" priority="15" bottom="1" rank="1"/>
    <cfRule type="top10" dxfId="18" priority="16" rank="1"/>
  </conditionalFormatting>
  <conditionalFormatting sqref="AK11">
    <cfRule type="top10" dxfId="17" priority="14" rank="1"/>
    <cfRule type="top10" dxfId="16" priority="13" bottom="1" rank="1"/>
  </conditionalFormatting>
  <conditionalFormatting sqref="AK21">
    <cfRule type="top10" dxfId="15" priority="8" rank="1"/>
    <cfRule type="top10" dxfId="14" priority="7" bottom="1" rank="1"/>
  </conditionalFormatting>
  <conditionalFormatting sqref="AK22">
    <cfRule type="top10" dxfId="13" priority="6" rank="1"/>
    <cfRule type="top10" dxfId="12" priority="5" bottom="1" rank="1"/>
  </conditionalFormatting>
  <conditionalFormatting sqref="AK23 AK7:AK8 AK10 AK12:AK20">
    <cfRule type="top10" dxfId="11" priority="61" bottom="1" rank="1"/>
    <cfRule type="top10" dxfId="10" priority="62" rank="1"/>
  </conditionalFormatting>
  <conditionalFormatting sqref="AO9:AO22">
    <cfRule type="top10" dxfId="9" priority="707" bottom="1" rank="1"/>
    <cfRule type="top10" dxfId="8" priority="708" rank="1"/>
  </conditionalFormatting>
  <conditionalFormatting sqref="AO23 AO7:AO8">
    <cfRule type="top10" dxfId="7" priority="59" bottom="1" rank="1"/>
    <cfRule type="top10" dxfId="6" priority="60" rank="1"/>
  </conditionalFormatting>
  <conditionalFormatting sqref="AS7:AS23">
    <cfRule type="top10" dxfId="5" priority="712" rank="1"/>
    <cfRule type="top10" dxfId="4" priority="711" bottom="1" rank="1"/>
  </conditionalFormatting>
  <conditionalFormatting sqref="AW7:AW23">
    <cfRule type="top10" dxfId="3" priority="700" rank="1"/>
    <cfRule type="top10" dxfId="2" priority="699" bottom="1" rank="1"/>
  </conditionalFormatting>
  <conditionalFormatting sqref="AZ7:AZ23">
    <cfRule type="top10" dxfId="1" priority="703" bottom="1" rank="1"/>
    <cfRule type="top10" dxfId="0" priority="704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Rekap All 2026</vt:lpstr>
      <vt:lpstr>NPA</vt:lpstr>
      <vt:lpstr>NES</vt:lpstr>
      <vt:lpstr>2026-PKL NPA</vt:lpstr>
      <vt:lpstr>2026- Harian NES</vt:lpstr>
      <vt:lpstr>2026-Harian NPA</vt:lpstr>
      <vt:lpstr>2026-LPK MKS NPA</vt:lpstr>
      <vt:lpstr>2026-LPK MKM NPA</vt:lpstr>
      <vt:lpstr>2026-LPK DKP NPA </vt:lpstr>
      <vt:lpstr>2026-LPK CTPS NPA</vt:lpstr>
      <vt:lpstr>2026-LPK CDB NPA</vt:lpstr>
      <vt:lpstr>2026-OS CTPS NPA</vt:lpstr>
      <vt:lpstr>2026-OS CDB NPA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boko</dc:creator>
  <cp:lastModifiedBy>B3686</cp:lastModifiedBy>
  <cp:lastPrinted>2017-09-29T02:38:57Z</cp:lastPrinted>
  <dcterms:created xsi:type="dcterms:W3CDTF">2017-09-04T07:30:31Z</dcterms:created>
  <dcterms:modified xsi:type="dcterms:W3CDTF">2026-04-15T04:36:29Z</dcterms:modified>
</cp:coreProperties>
</file>