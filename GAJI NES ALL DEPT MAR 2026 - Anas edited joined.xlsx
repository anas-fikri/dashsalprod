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sfikri/Documents/Anas Fikri/NPA/"/>
    </mc:Choice>
  </mc:AlternateContent>
  <xr:revisionPtr revIDLastSave="0" documentId="13_ncr:1_{40269291-1E2A-3A43-9C71-2C8B8B9B2780}" xr6:coauthVersionLast="47" xr6:coauthVersionMax="47" xr10:uidLastSave="{00000000-0000-0000-0000-000000000000}"/>
  <bookViews>
    <workbookView xWindow="3920" yWindow="4800" windowWidth="30160" windowHeight="17280" xr2:uid="{BB2DBFF6-647B-824C-8210-628C8C86D075}"/>
  </bookViews>
  <sheets>
    <sheet name="TEMP" sheetId="1" r:id="rId1"/>
  </sheets>
  <definedNames>
    <definedName name="TEMP">TEMP!$C$1:$AW$17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4" i="1" l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29" i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S27" i="1"/>
  <c r="S26" i="1"/>
  <c r="S25" i="1"/>
  <c r="S24" i="1"/>
  <c r="S23" i="1"/>
  <c r="S22" i="1"/>
  <c r="S21" i="1"/>
  <c r="S20" i="1"/>
  <c r="S19" i="1"/>
  <c r="A19" i="1"/>
  <c r="A20" i="1" s="1"/>
  <c r="A21" i="1" s="1"/>
  <c r="A22" i="1" s="1"/>
  <c r="A23" i="1" s="1"/>
  <c r="A24" i="1" s="1"/>
  <c r="A25" i="1" s="1"/>
  <c r="A26" i="1" s="1"/>
  <c r="A27" i="1" s="1"/>
  <c r="S18" i="1"/>
  <c r="A14" i="1"/>
  <c r="A15" i="1" s="1"/>
  <c r="A16" i="1" s="1"/>
  <c r="A17" i="1" s="1"/>
  <c r="A7" i="1"/>
  <c r="A8" i="1" s="1"/>
  <c r="A9" i="1" s="1"/>
  <c r="A10" i="1" s="1"/>
  <c r="A11" i="1" s="1"/>
  <c r="A12" i="1" s="1"/>
  <c r="A3" i="1"/>
  <c r="A4" i="1" s="1"/>
  <c r="A5" i="1" s="1"/>
</calcChain>
</file>

<file path=xl/sharedStrings.xml><?xml version="1.0" encoding="utf-8"?>
<sst xmlns="http://schemas.openxmlformats.org/spreadsheetml/2006/main" count="1323" uniqueCount="457">
  <si>
    <t>Month</t>
  </si>
  <si>
    <t>GRUP</t>
  </si>
  <si>
    <t>SubDepartemen</t>
  </si>
  <si>
    <t>Jabatan</t>
  </si>
  <si>
    <t>NIK</t>
  </si>
  <si>
    <t>Nama</t>
  </si>
  <si>
    <t>NPWPPeg</t>
  </si>
  <si>
    <t>StatusPeg</t>
  </si>
  <si>
    <t>GajiPokok</t>
  </si>
  <si>
    <t>TunjTrnspt</t>
  </si>
  <si>
    <t>TunjJabatan1</t>
  </si>
  <si>
    <t>TunjJabatan2</t>
  </si>
  <si>
    <t>GajiSebulan</t>
  </si>
  <si>
    <t>TunjPerjalanan</t>
  </si>
  <si>
    <t>TunjAbsensi</t>
  </si>
  <si>
    <t>TunjMskMlm</t>
  </si>
  <si>
    <t>TunjMskHrLbr</t>
  </si>
  <si>
    <t>TunjLShift</t>
  </si>
  <si>
    <t>UangLembur</t>
  </si>
  <si>
    <t>UangMakan</t>
  </si>
  <si>
    <t>JamsPrshn</t>
  </si>
  <si>
    <t>Santunan</t>
  </si>
  <si>
    <t>KoreksiGaji</t>
  </si>
  <si>
    <t>Bonus</t>
  </si>
  <si>
    <t>THR</t>
  </si>
  <si>
    <t>GajiBruto</t>
  </si>
  <si>
    <t>JamsDPLK</t>
  </si>
  <si>
    <t>BPJS1</t>
  </si>
  <si>
    <t>JPN1</t>
  </si>
  <si>
    <t>PPh21DitggPemerintah</t>
  </si>
  <si>
    <t>PPh21Rutin</t>
  </si>
  <si>
    <t>PPh21NonRutin</t>
  </si>
  <si>
    <t>KoreksiJamsostek</t>
  </si>
  <si>
    <t>PotonganPrsh</t>
  </si>
  <si>
    <t>PotonganKaryawan</t>
  </si>
  <si>
    <t>SPSI</t>
  </si>
  <si>
    <t>PotonganBTN</t>
  </si>
  <si>
    <t>PotonganLainlain</t>
  </si>
  <si>
    <t>PotonganKoperasi</t>
  </si>
  <si>
    <t>KoreksiPajak</t>
  </si>
  <si>
    <t>TotalPotongan</t>
  </si>
  <si>
    <t>GajiTelahDibayar</t>
  </si>
  <si>
    <t>GajiDiterima</t>
  </si>
  <si>
    <t>0100 - Struktural 1</t>
  </si>
  <si>
    <t>700000001</t>
  </si>
  <si>
    <t>Ryanda Andre Moresto</t>
  </si>
  <si>
    <t>834101420003000</t>
  </si>
  <si>
    <t>Tetap</t>
  </si>
  <si>
    <t>700000007</t>
  </si>
  <si>
    <t>Bachtiar Rifani</t>
  </si>
  <si>
    <t>790130629412000</t>
  </si>
  <si>
    <t>700000009</t>
  </si>
  <si>
    <t>Irfan Buchori</t>
  </si>
  <si>
    <t>252616602647000</t>
  </si>
  <si>
    <t>900000216</t>
  </si>
  <si>
    <t>Nopitriady</t>
  </si>
  <si>
    <t>590014528432000</t>
  </si>
  <si>
    <t>0200 - Struktural 2</t>
  </si>
  <si>
    <t>820000216</t>
  </si>
  <si>
    <t>Mochamad Andy Maulana Ramadhan</t>
  </si>
  <si>
    <t>754502771435000</t>
  </si>
  <si>
    <t>900000223</t>
  </si>
  <si>
    <t>Mujiono</t>
  </si>
  <si>
    <t>698665767407000</t>
  </si>
  <si>
    <t>700000006</t>
  </si>
  <si>
    <t>Bettav Ari Fahreza</t>
  </si>
  <si>
    <t>822736872045000</t>
  </si>
  <si>
    <t>Kontrak</t>
  </si>
  <si>
    <t>700000002</t>
  </si>
  <si>
    <t>Aditya Fajar Ramadhan</t>
  </si>
  <si>
    <t>700000013</t>
  </si>
  <si>
    <t>Melisa Adisti</t>
  </si>
  <si>
    <t>120912610500000</t>
  </si>
  <si>
    <t>700000011</t>
  </si>
  <si>
    <t>Rijal Al Kautsar Muluk</t>
  </si>
  <si>
    <t>431840768626000</t>
  </si>
  <si>
    <t>700000012</t>
  </si>
  <si>
    <t>Ahmad Zulfikar</t>
  </si>
  <si>
    <t>660970104009000</t>
  </si>
  <si>
    <t>0300 - Non Struktural</t>
  </si>
  <si>
    <t>700000003</t>
  </si>
  <si>
    <t>Muhammad Husni</t>
  </si>
  <si>
    <t>700000004</t>
  </si>
  <si>
    <t>Zainal Arifin</t>
  </si>
  <si>
    <t>670893049407000</t>
  </si>
  <si>
    <t>500000062</t>
  </si>
  <si>
    <t>Arzuna</t>
  </si>
  <si>
    <t>851699512435000</t>
  </si>
  <si>
    <t>700000005</t>
  </si>
  <si>
    <t>Basuni</t>
  </si>
  <si>
    <t>353754443045000</t>
  </si>
  <si>
    <t>600000006</t>
  </si>
  <si>
    <t>Sahid Al Alawi</t>
  </si>
  <si>
    <t>917466864006000</t>
  </si>
  <si>
    <t>No</t>
  </si>
  <si>
    <t>Struktural</t>
  </si>
  <si>
    <t>Kode group</t>
  </si>
  <si>
    <t>0100</t>
  </si>
  <si>
    <t>0200</t>
  </si>
  <si>
    <t>0300</t>
  </si>
  <si>
    <t xml:space="preserve"> Marketing</t>
  </si>
  <si>
    <t xml:space="preserve"> Elektrikal</t>
  </si>
  <si>
    <t>Marketing</t>
  </si>
  <si>
    <t>Elektrikal</t>
  </si>
  <si>
    <t>Kode SubDepartemen</t>
  </si>
  <si>
    <t xml:space="preserve"> Kadept. Marketing</t>
  </si>
  <si>
    <t xml:space="preserve"> Kadept. Electrikal</t>
  </si>
  <si>
    <t xml:space="preserve"> Kabag. Engineering Elektrikal</t>
  </si>
  <si>
    <t xml:space="preserve"> Kabag. Estimator Elektrikal</t>
  </si>
  <si>
    <t xml:space="preserve"> Sales Engineer</t>
  </si>
  <si>
    <t xml:space="preserve"> Kabag. Produksi Elektrikal</t>
  </si>
  <si>
    <t xml:space="preserve"> Karu Produksi Elektrikal</t>
  </si>
  <si>
    <t xml:space="preserve"> Staff Estimator</t>
  </si>
  <si>
    <t xml:space="preserve"> Project Elektrikal Engineer</t>
  </si>
  <si>
    <t xml:space="preserve"> Senior Staff Elektrikal Engineer</t>
  </si>
  <si>
    <t xml:space="preserve"> Operator Produksi Elektrikal -  Machining</t>
  </si>
  <si>
    <t xml:space="preserve"> Operator Produksi Elektrikal - Assembling</t>
  </si>
  <si>
    <t xml:space="preserve"> Operator Produksi Elektrikal -  Wiring</t>
  </si>
  <si>
    <t xml:space="preserve"> Operator Produksi Elektrikal - Wiring</t>
  </si>
  <si>
    <t xml:space="preserve"> Inspektor QC - Elektrikal</t>
  </si>
  <si>
    <t>Kode Jabatan</t>
  </si>
  <si>
    <t>Kode Perushaaan</t>
  </si>
  <si>
    <t>NES</t>
  </si>
  <si>
    <t>NPA</t>
  </si>
  <si>
    <t xml:space="preserve"> None</t>
  </si>
  <si>
    <t xml:space="preserve"> VP.Operation</t>
  </si>
  <si>
    <t>Haluanto Aziz Pramono</t>
  </si>
  <si>
    <t>485264253407000</t>
  </si>
  <si>
    <t xml:space="preserve"> VP.Finance &amp; SMO</t>
  </si>
  <si>
    <t>Putut Kencoko</t>
  </si>
  <si>
    <t>472319151009000</t>
  </si>
  <si>
    <t xml:space="preserve"> Keuangan &amp; Akunting</t>
  </si>
  <si>
    <t xml:space="preserve"> Kadept. Finance &amp; Accounting</t>
  </si>
  <si>
    <t>Bena Bentar P</t>
  </si>
  <si>
    <t>252224563004000</t>
  </si>
  <si>
    <t>Ardian Risnizar</t>
  </si>
  <si>
    <t>775865058429000</t>
  </si>
  <si>
    <t>Eko Hari Susilo Budi</t>
  </si>
  <si>
    <t>479425308004000</t>
  </si>
  <si>
    <t xml:space="preserve"> WaKadept. Marketing</t>
  </si>
  <si>
    <t>Heri Kusmana</t>
  </si>
  <si>
    <t>247612005009000</t>
  </si>
  <si>
    <t xml:space="preserve"> MR, QC &amp; HSE</t>
  </si>
  <si>
    <t xml:space="preserve"> Kabag. MR &amp; QC</t>
  </si>
  <si>
    <t>Syarifudin (SA)</t>
  </si>
  <si>
    <t>479425332435000</t>
  </si>
  <si>
    <t xml:space="preserve"> Produksi Cable Tray</t>
  </si>
  <si>
    <t xml:space="preserve"> Kadept. Operasional Pabrikasi</t>
  </si>
  <si>
    <t>Akhmad Hisyam</t>
  </si>
  <si>
    <t>479425274435000</t>
  </si>
  <si>
    <t xml:space="preserve"> WaKadept Operasional Pabrikasi</t>
  </si>
  <si>
    <t>Sarifudin (SS)</t>
  </si>
  <si>
    <t>676569718002000</t>
  </si>
  <si>
    <t xml:space="preserve"> HRD,GA &amp; Legal</t>
  </si>
  <si>
    <t xml:space="preserve"> Kadept. HRD, GA &amp; Legal</t>
  </si>
  <si>
    <t>Dona Novandri Astomo</t>
  </si>
  <si>
    <t>714946308407000</t>
  </si>
  <si>
    <t xml:space="preserve"> Produksi Empty Panel</t>
  </si>
  <si>
    <t xml:space="preserve"> Kabag. Produksi Panel</t>
  </si>
  <si>
    <t>Naryadi</t>
  </si>
  <si>
    <t>699367165004000</t>
  </si>
  <si>
    <t xml:space="preserve"> Programmer Mesin</t>
  </si>
  <si>
    <t>Iskandarsyah Wicaksono</t>
  </si>
  <si>
    <t>628809725002000</t>
  </si>
  <si>
    <t xml:space="preserve"> Karu Produksi Panel -  Machining</t>
  </si>
  <si>
    <t>Fatchul Choir</t>
  </si>
  <si>
    <t>699367231006000</t>
  </si>
  <si>
    <t xml:space="preserve"> Karu Produksi Panel -  Welding</t>
  </si>
  <si>
    <t>Suwarno</t>
  </si>
  <si>
    <t>368302063435000</t>
  </si>
  <si>
    <t xml:space="preserve"> Karu Produksi Panel - Painting &amp; Pretreatment</t>
  </si>
  <si>
    <t>Byan Pratama</t>
  </si>
  <si>
    <t>444122774437000</t>
  </si>
  <si>
    <t>Umboro Sujianto</t>
  </si>
  <si>
    <t>485302129004000</t>
  </si>
  <si>
    <t xml:space="preserve"> Karu Produksi Panel - Assembling</t>
  </si>
  <si>
    <t>Agus Nurdiyanto</t>
  </si>
  <si>
    <t>784159741407000</t>
  </si>
  <si>
    <t>Asep Suhendi</t>
  </si>
  <si>
    <t>784159808502000</t>
  </si>
  <si>
    <t>Iman Firmansyah</t>
  </si>
  <si>
    <t>760704700501000</t>
  </si>
  <si>
    <t xml:space="preserve"> Staff Engineering</t>
  </si>
  <si>
    <t>Fuadi Muhammad</t>
  </si>
  <si>
    <t>929938546409000</t>
  </si>
  <si>
    <t xml:space="preserve"> Admin Produksi - Produksi Cable Tray</t>
  </si>
  <si>
    <t>Mohammad Dio Saputro</t>
  </si>
  <si>
    <t>809905615433000</t>
  </si>
  <si>
    <t xml:space="preserve"> Programmer &amp; Op.Mesin S4</t>
  </si>
  <si>
    <t>Parjoko</t>
  </si>
  <si>
    <t>784159832004000</t>
  </si>
  <si>
    <t xml:space="preserve"> Kabag. Finance</t>
  </si>
  <si>
    <t>Jita Isna Nilasati</t>
  </si>
  <si>
    <t>722684768003000</t>
  </si>
  <si>
    <t xml:space="preserve"> Kabag. Accounting</t>
  </si>
  <si>
    <t>Fauzi Achmad</t>
  </si>
  <si>
    <t>984170043411000</t>
  </si>
  <si>
    <t xml:space="preserve"> Senior Staf Tax &amp; Financial Reporting</t>
  </si>
  <si>
    <t>Ade Saepudin</t>
  </si>
  <si>
    <t>660411349425000</t>
  </si>
  <si>
    <t xml:space="preserve"> Staff Keu &amp; Akunting</t>
  </si>
  <si>
    <t>M. Rifa'i</t>
  </si>
  <si>
    <t>676569700407000</t>
  </si>
  <si>
    <t>Apsari Candra Nursita</t>
  </si>
  <si>
    <t>834489999435000</t>
  </si>
  <si>
    <t>Siti Sumarni</t>
  </si>
  <si>
    <t>658444948421000</t>
  </si>
  <si>
    <t>Muhammad Fauzi</t>
  </si>
  <si>
    <t>841078025412000</t>
  </si>
  <si>
    <t xml:space="preserve"> Senior Staf AP &amp; Financial Reporting</t>
  </si>
  <si>
    <t>Indarnoto Kunto Wijoyo</t>
  </si>
  <si>
    <t>099745242017000</t>
  </si>
  <si>
    <t xml:space="preserve"> Maintenance &amp; HSE</t>
  </si>
  <si>
    <t xml:space="preserve"> Kabag. Maintenance</t>
  </si>
  <si>
    <t>Adhi Rian Dwiyana</t>
  </si>
  <si>
    <t>140623612409000</t>
  </si>
  <si>
    <t xml:space="preserve"> Teknisi Maintenance Elektrikal</t>
  </si>
  <si>
    <t>Agung Maulana</t>
  </si>
  <si>
    <t>711008581405000</t>
  </si>
  <si>
    <t xml:space="preserve"> Staff - Admin Sales &amp; Marketing</t>
  </si>
  <si>
    <t>Azam Ibrahim Ghufron</t>
  </si>
  <si>
    <t>000000000000000</t>
  </si>
  <si>
    <t>Joko Prasetyo</t>
  </si>
  <si>
    <t>899786271407000</t>
  </si>
  <si>
    <t>Jamal Awaludin</t>
  </si>
  <si>
    <t>446449308521000</t>
  </si>
  <si>
    <t xml:space="preserve"> WaKabag QC</t>
  </si>
  <si>
    <t>Faris Fadli</t>
  </si>
  <si>
    <t>437281793434000</t>
  </si>
  <si>
    <t xml:space="preserve"> Karu QC</t>
  </si>
  <si>
    <t>Ridwan</t>
  </si>
  <si>
    <t>485301964006000</t>
  </si>
  <si>
    <t xml:space="preserve"> Staff QC</t>
  </si>
  <si>
    <t>Ana Noor Maulana</t>
  </si>
  <si>
    <t>812006435433000</t>
  </si>
  <si>
    <t xml:space="preserve"> PPIC</t>
  </si>
  <si>
    <t xml:space="preserve"> Kabag PPIC</t>
  </si>
  <si>
    <t>Januar Fernando</t>
  </si>
  <si>
    <t>676569668004000</t>
  </si>
  <si>
    <t xml:space="preserve"> Staff PPIC</t>
  </si>
  <si>
    <t>Mahwadi</t>
  </si>
  <si>
    <t>490955234008000</t>
  </si>
  <si>
    <t>Nugroho Sri Mulyono</t>
  </si>
  <si>
    <t>321413171093000</t>
  </si>
  <si>
    <t>Guntur Caksono</t>
  </si>
  <si>
    <t>681828570439000</t>
  </si>
  <si>
    <t xml:space="preserve"> Purchasing &amp; EIM</t>
  </si>
  <si>
    <t xml:space="preserve"> Kabag. Prc &amp; Exim</t>
  </si>
  <si>
    <t>Yul Hamni</t>
  </si>
  <si>
    <t>480088459432000</t>
  </si>
  <si>
    <t xml:space="preserve"> Staff Purchasing</t>
  </si>
  <si>
    <t>Wiwin Sulistiyowati</t>
  </si>
  <si>
    <t>584151229432000</t>
  </si>
  <si>
    <t xml:space="preserve"> WaKabag Purchasing &amp; Exim</t>
  </si>
  <si>
    <t>Yoga Jatmiko</t>
  </si>
  <si>
    <t>490951886429000</t>
  </si>
  <si>
    <t xml:space="preserve"> Warehouse &amp; Delivery</t>
  </si>
  <si>
    <t xml:space="preserve"> Kabag. WHD</t>
  </si>
  <si>
    <t>Heri Hendrayana</t>
  </si>
  <si>
    <t>908005507435000</t>
  </si>
  <si>
    <t xml:space="preserve"> WaKabag WHD</t>
  </si>
  <si>
    <t>Misbahkhul Munir</t>
  </si>
  <si>
    <t>555507730435000</t>
  </si>
  <si>
    <t xml:space="preserve"> Karu WHD</t>
  </si>
  <si>
    <t>Pipit Edi Purnomo</t>
  </si>
  <si>
    <t>592185359407000</t>
  </si>
  <si>
    <t xml:space="preserve"> Kabag. Produksi CT &amp; Pole</t>
  </si>
  <si>
    <t>Supriyanto (A)</t>
  </si>
  <si>
    <t>039480132435000</t>
  </si>
  <si>
    <t xml:space="preserve"> Project Management - CT</t>
  </si>
  <si>
    <t>Kastoro</t>
  </si>
  <si>
    <t>676569775435000</t>
  </si>
  <si>
    <t xml:space="preserve"> Kabag. Produksi Support</t>
  </si>
  <si>
    <t>Egus Sunaryana</t>
  </si>
  <si>
    <t>784159626429000</t>
  </si>
  <si>
    <t xml:space="preserve"> Karu Produksi CT - Machining</t>
  </si>
  <si>
    <t>Antonny Sudarman</t>
  </si>
  <si>
    <t>956967558454000</t>
  </si>
  <si>
    <t xml:space="preserve"> Karu Produksi CT - Welding</t>
  </si>
  <si>
    <t>Maryanto</t>
  </si>
  <si>
    <t>792446841004000</t>
  </si>
  <si>
    <t xml:space="preserve"> Karu Produksi CT - Packing</t>
  </si>
  <si>
    <t>M. Yunus</t>
  </si>
  <si>
    <t>699367256003000</t>
  </si>
  <si>
    <t xml:space="preserve"> Karu Produksi CT - Programmer</t>
  </si>
  <si>
    <t>Widi Setio Pramono</t>
  </si>
  <si>
    <t>784159691024000</t>
  </si>
  <si>
    <t xml:space="preserve"> SA - VP Operations</t>
  </si>
  <si>
    <t>Fauzan Widiyanto</t>
  </si>
  <si>
    <t>916676166432000</t>
  </si>
  <si>
    <t>Slamet Asmawi</t>
  </si>
  <si>
    <t>784159956004000</t>
  </si>
  <si>
    <t xml:space="preserve"> Elektronika</t>
  </si>
  <si>
    <t xml:space="preserve"> Kabag. Produksi Elektronika</t>
  </si>
  <si>
    <t>Fajar Heru Santoso</t>
  </si>
  <si>
    <t>251670279414000</t>
  </si>
  <si>
    <t xml:space="preserve"> Staff Elektronika</t>
  </si>
  <si>
    <t>Jaenal Awaluddin</t>
  </si>
  <si>
    <t>706021235403000</t>
  </si>
  <si>
    <t xml:space="preserve"> Engineering</t>
  </si>
  <si>
    <t xml:space="preserve"> Kabag. Engineering Panel &amp; CT</t>
  </si>
  <si>
    <t>Trias Megandana</t>
  </si>
  <si>
    <t>485264402405000</t>
  </si>
  <si>
    <t>Fajar Dwi Setiyawan</t>
  </si>
  <si>
    <t>446447187416000</t>
  </si>
  <si>
    <t>Sarwan Saputra</t>
  </si>
  <si>
    <t>790116107412000</t>
  </si>
  <si>
    <t>Rohmad</t>
  </si>
  <si>
    <t>485302210435000</t>
  </si>
  <si>
    <t>Okky Febrian</t>
  </si>
  <si>
    <t>660268053034000</t>
  </si>
  <si>
    <t>M.Syaiful Islam RR</t>
  </si>
  <si>
    <t>955003652009000</t>
  </si>
  <si>
    <t xml:space="preserve"> Asisten Kabag Engineering</t>
  </si>
  <si>
    <t>Supriyanto (B)</t>
  </si>
  <si>
    <t>265754622009000</t>
  </si>
  <si>
    <t xml:space="preserve"> Asisten Kabag. HRD,GA &amp; Legal</t>
  </si>
  <si>
    <t>Nia Budiharti</t>
  </si>
  <si>
    <t>263450611433000</t>
  </si>
  <si>
    <t>Derisiana Andiyanto</t>
  </si>
  <si>
    <t>446165615401000</t>
  </si>
  <si>
    <t>Beby Humaira</t>
  </si>
  <si>
    <t>913428025453000</t>
  </si>
  <si>
    <t xml:space="preserve"> Staff HRD &amp; GA</t>
  </si>
  <si>
    <t>Indah Rosidah</t>
  </si>
  <si>
    <t>806548004447000</t>
  </si>
  <si>
    <t xml:space="preserve"> Sekretaris Direksi</t>
  </si>
  <si>
    <t>Rina Ika Oktiana</t>
  </si>
  <si>
    <t>485264360407000</t>
  </si>
  <si>
    <t xml:space="preserve"> SA - VP Fin</t>
  </si>
  <si>
    <t>Tri Bagus Laksono</t>
  </si>
  <si>
    <t>870588142015000</t>
  </si>
  <si>
    <t xml:space="preserve"> IT</t>
  </si>
  <si>
    <t xml:space="preserve"> Kabag. IT</t>
  </si>
  <si>
    <t>Jarot Puntoaji</t>
  </si>
  <si>
    <t>485264279411000</t>
  </si>
  <si>
    <t xml:space="preserve"> Staff IT</t>
  </si>
  <si>
    <t>Satria Dani</t>
  </si>
  <si>
    <t>317410281190000</t>
  </si>
  <si>
    <t xml:space="preserve"> K3LH</t>
  </si>
  <si>
    <t xml:space="preserve"> Staff K3LH</t>
  </si>
  <si>
    <t>Titok Eko Sulistyantoro</t>
  </si>
  <si>
    <t>857684534436000</t>
  </si>
  <si>
    <t xml:space="preserve"> Operator Produksi Panel - Mesin ….</t>
  </si>
  <si>
    <t>Riza Paisal</t>
  </si>
  <si>
    <t>591220793006000</t>
  </si>
  <si>
    <t>Eko Fitriyanto</t>
  </si>
  <si>
    <t>792419046532000</t>
  </si>
  <si>
    <t>Sunardi</t>
  </si>
  <si>
    <t>792446965045000</t>
  </si>
  <si>
    <t>Sandi Haryandi</t>
  </si>
  <si>
    <t>792419251004000</t>
  </si>
  <si>
    <t>Tri Priyatno</t>
  </si>
  <si>
    <t>469424964004000</t>
  </si>
  <si>
    <t>Pujianto</t>
  </si>
  <si>
    <t>469377717004000</t>
  </si>
  <si>
    <t>Suharyanto</t>
  </si>
  <si>
    <t>792423063522000</t>
  </si>
  <si>
    <t>Budi Andriyanto</t>
  </si>
  <si>
    <t>540692944004000</t>
  </si>
  <si>
    <t>Haedian</t>
  </si>
  <si>
    <t>699367181008000</t>
  </si>
  <si>
    <t>Muhammad Aripin</t>
  </si>
  <si>
    <t>699367215004000</t>
  </si>
  <si>
    <t xml:space="preserve"> Operator Produksi Panel - Welder ….</t>
  </si>
  <si>
    <t>M. Imin</t>
  </si>
  <si>
    <t>784159816004000</t>
  </si>
  <si>
    <t>Ace Warman</t>
  </si>
  <si>
    <t>472233113004000</t>
  </si>
  <si>
    <t>Bustanul Arifin</t>
  </si>
  <si>
    <t>541401444004000</t>
  </si>
  <si>
    <t xml:space="preserve"> Operator Produksi Panel - Painting</t>
  </si>
  <si>
    <t>Ragil Suripto</t>
  </si>
  <si>
    <t>485302152004000</t>
  </si>
  <si>
    <t xml:space="preserve"> Operator Produksi Panel - Assembling</t>
  </si>
  <si>
    <t>Asmar</t>
  </si>
  <si>
    <t>792430167006000</t>
  </si>
  <si>
    <t xml:space="preserve"> Admin Produksi -  Produksi Cable Tray</t>
  </si>
  <si>
    <t>Sutaman</t>
  </si>
  <si>
    <t>478172737532000</t>
  </si>
  <si>
    <t xml:space="preserve"> Inspektor QC - Panel</t>
  </si>
  <si>
    <t>Tatang Wibowo</t>
  </si>
  <si>
    <t>784159733004000</t>
  </si>
  <si>
    <t>Niman</t>
  </si>
  <si>
    <t>792430092008000</t>
  </si>
  <si>
    <t xml:space="preserve"> Teknisi Maintenance Mekanikal</t>
  </si>
  <si>
    <t>Joko Santoso</t>
  </si>
  <si>
    <t>784159782008000</t>
  </si>
  <si>
    <t>Abdul Syafii</t>
  </si>
  <si>
    <t>968564393008000</t>
  </si>
  <si>
    <t>Rizki Ilham Maulana</t>
  </si>
  <si>
    <t>456924265005000</t>
  </si>
  <si>
    <t>Lukman</t>
  </si>
  <si>
    <t>046444501427000</t>
  </si>
  <si>
    <t xml:space="preserve"> Operator Forklift</t>
  </si>
  <si>
    <t>Redi Romadhona</t>
  </si>
  <si>
    <t>784159865003000</t>
  </si>
  <si>
    <t>Rohmat Hidayat</t>
  </si>
  <si>
    <t>759932098433000</t>
  </si>
  <si>
    <t xml:space="preserve"> Operator Produksi CT - Machining</t>
  </si>
  <si>
    <t>Mugiono</t>
  </si>
  <si>
    <t>596145219004000</t>
  </si>
  <si>
    <t>Subhiyatno</t>
  </si>
  <si>
    <t>576023261008000</t>
  </si>
  <si>
    <t>Suprapto</t>
  </si>
  <si>
    <t>574106365004000</t>
  </si>
  <si>
    <t>Madinah</t>
  </si>
  <si>
    <t>672393022432000</t>
  </si>
  <si>
    <t>Sarino</t>
  </si>
  <si>
    <t>699367306432000</t>
  </si>
  <si>
    <t>Agus Trijoko</t>
  </si>
  <si>
    <t>784179160407000</t>
  </si>
  <si>
    <t>Ahmad Supandi</t>
  </si>
  <si>
    <t>784179202008000</t>
  </si>
  <si>
    <t>Ujang Mulyana</t>
  </si>
  <si>
    <t>731143509433000</t>
  </si>
  <si>
    <t>Fatah Yasin</t>
  </si>
  <si>
    <t>675740005525000</t>
  </si>
  <si>
    <t>Anton Indra Gunawan</t>
  </si>
  <si>
    <t>089030407523000</t>
  </si>
  <si>
    <t>Supriatna</t>
  </si>
  <si>
    <t>784224222432000</t>
  </si>
  <si>
    <t>Endang Sudrajat</t>
  </si>
  <si>
    <t>784224339009000</t>
  </si>
  <si>
    <t>Catur Prasetya</t>
  </si>
  <si>
    <t>784224495004000</t>
  </si>
  <si>
    <t xml:space="preserve"> Operator Produksi CT - Finishing</t>
  </si>
  <si>
    <t>Mimit Karmita</t>
  </si>
  <si>
    <t>462170606439000</t>
  </si>
  <si>
    <t>Erwin Nurmawan</t>
  </si>
  <si>
    <t>660528407433000</t>
  </si>
  <si>
    <t xml:space="preserve"> Operator Produksi Pole - Finishing</t>
  </si>
  <si>
    <t>Raman</t>
  </si>
  <si>
    <t>709090765433000</t>
  </si>
  <si>
    <t xml:space="preserve"> Operator Produksi Pole - Welding</t>
  </si>
  <si>
    <t>Heri Setiawan</t>
  </si>
  <si>
    <t>442147823407000</t>
  </si>
  <si>
    <t>Syaronih</t>
  </si>
  <si>
    <t>784224297004000</t>
  </si>
  <si>
    <t>Saryanto</t>
  </si>
  <si>
    <t>784159675004000</t>
  </si>
  <si>
    <t>Firdaus Sumantri</t>
  </si>
  <si>
    <t>094519352004000</t>
  </si>
  <si>
    <t>Goretta AS</t>
  </si>
  <si>
    <t>699367249008000</t>
  </si>
  <si>
    <t>Khudori</t>
  </si>
  <si>
    <t>792446866004000</t>
  </si>
  <si>
    <t>Wahyudin</t>
  </si>
  <si>
    <t>837590769004000</t>
  </si>
  <si>
    <t>Tarmuji</t>
  </si>
  <si>
    <t>327611250692000</t>
  </si>
  <si>
    <t xml:space="preserve"> Operator Produksi Elektronika - Assembling</t>
  </si>
  <si>
    <t>Rahmat Saleh</t>
  </si>
  <si>
    <t>497348680439000</t>
  </si>
  <si>
    <t>STR1</t>
  </si>
  <si>
    <t>STR2</t>
  </si>
  <si>
    <t>NSTR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</si>
</sst>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>
    <font>
      <sz val="10"/>
      <name val="MS Sans Serif"/>
      <family val="2"/>
    </font>
    <font>
      <sz val="10"/>
      <name val="MS Sans Serif"/>
      <family val="2"/>
    </font>
    <font>
      <b/>
      <sz val="10"/>
      <name val="MS Sans Serif"/>
      <charset val="1"/>
    </font>
    <font>
      <sz val="10"/>
      <name val="MS Sans Serif"/>
      <charset val="1"/>
    </font>
    <font>
      <sz val="10"/>
      <name val="MS Sans Serif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164" fontId="0" fillId="0" borderId="0" xfId="1" applyNumberFormat="1" applyFont="1"/>
    <xf numFmtId="164" fontId="2" fillId="0" borderId="1" xfId="1" applyNumberFormat="1" applyFont="1" applyBorder="1" applyAlignment="1">
      <alignment horizontal="center"/>
    </xf>
    <xf numFmtId="164" fontId="3" fillId="0" borderId="1" xfId="1" applyNumberFormat="1" applyFont="1" applyBorder="1"/>
    <xf numFmtId="164" fontId="2" fillId="0" borderId="1" xfId="1" applyNumberFormat="1" applyFont="1" applyBorder="1"/>
    <xf numFmtId="0" fontId="2" fillId="0" borderId="1" xfId="0" applyFont="1" applyBorder="1"/>
    <xf numFmtId="0" fontId="2" fillId="0" borderId="0" xfId="0" applyFont="1"/>
    <xf numFmtId="0" fontId="0" fillId="0" borderId="1" xfId="0" applyBorder="1"/>
    <xf numFmtId="164" fontId="0" fillId="0" borderId="1" xfId="1" applyNumberFormat="1" applyFont="1" applyBorder="1"/>
    <xf numFmtId="0" fontId="2" fillId="2" borderId="1" xfId="0" applyFont="1" applyFill="1" applyBorder="1"/>
    <xf numFmtId="17" fontId="0" fillId="2" borderId="1" xfId="0" applyNumberFormat="1" applyFill="1" applyBorder="1"/>
    <xf numFmtId="0" fontId="0" fillId="2" borderId="0" xfId="0" applyFill="1"/>
    <xf numFmtId="0" fontId="0" fillId="2" borderId="1" xfId="0" applyFill="1" applyBorder="1"/>
    <xf numFmtId="164" fontId="2" fillId="2" borderId="1" xfId="1" applyNumberFormat="1" applyFont="1" applyFill="1" applyBorder="1" applyAlignment="1">
      <alignment horizontal="center"/>
    </xf>
    <xf numFmtId="164" fontId="3" fillId="2" borderId="1" xfId="1" applyNumberFormat="1" applyFont="1" applyFill="1" applyBorder="1"/>
    <xf numFmtId="0" fontId="4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154D3-EDC3-304F-989C-159F4CE2F298}">
  <dimension ref="A1:AW141"/>
  <sheetViews>
    <sheetView tabSelected="1" zoomScale="150" workbookViewId="0">
      <selection activeCell="J14" sqref="J14"/>
    </sheetView>
  </sheetViews>
  <sheetFormatPr baseColWidth="10" defaultRowHeight="13"/>
  <cols>
    <col min="1" max="1" width="5.3984375" customWidth="1"/>
    <col min="2" max="2" width="5.3984375" style="11" customWidth="1"/>
    <col min="3" max="3" width="8.796875" style="11" customWidth="1"/>
    <col min="4" max="4" width="17.796875" bestFit="1" customWidth="1"/>
    <col min="5" max="5" width="17.796875" style="11" customWidth="1"/>
    <col min="6" max="6" width="16.3984375" style="11" bestFit="1" customWidth="1"/>
    <col min="7" max="7" width="16.3984375" style="11" customWidth="1"/>
    <col min="8" max="8" width="7.59765625" style="11" bestFit="1" customWidth="1"/>
    <col min="9" max="9" width="26" style="11" bestFit="1" customWidth="1"/>
    <col min="10" max="10" width="9.19921875" style="11" bestFit="1" customWidth="1"/>
    <col min="11" max="14" width="8.796875" customWidth="1"/>
    <col min="15" max="15" width="13.3984375" style="1" bestFit="1" customWidth="1"/>
    <col min="16" max="17" width="12.3984375" style="1" bestFit="1" customWidth="1"/>
    <col min="18" max="18" width="11.796875" style="1" bestFit="1" customWidth="1"/>
    <col min="19" max="19" width="13.3984375" style="1" bestFit="1" customWidth="1"/>
    <col min="20" max="20" width="13" style="1" bestFit="1" customWidth="1"/>
    <col min="21" max="21" width="10.796875" style="1" bestFit="1" customWidth="1"/>
    <col min="22" max="22" width="11.19921875" style="1" bestFit="1" customWidth="1"/>
    <col min="23" max="23" width="12.19921875" style="1" bestFit="1" customWidth="1"/>
    <col min="24" max="24" width="9" style="1" bestFit="1" customWidth="1"/>
    <col min="25" max="25" width="12.3984375" style="1" bestFit="1" customWidth="1"/>
    <col min="26" max="27" width="11" style="1" bestFit="1" customWidth="1"/>
    <col min="28" max="28" width="8.59765625" style="1" bestFit="1" customWidth="1"/>
    <col min="29" max="29" width="11.59765625" style="1" bestFit="1" customWidth="1"/>
    <col min="30" max="30" width="6" style="1" bestFit="1" customWidth="1"/>
    <col min="31" max="31" width="4.59765625" style="1" bestFit="1" customWidth="1"/>
    <col min="32" max="32" width="13.3984375" style="1" bestFit="1" customWidth="1"/>
    <col min="33" max="35" width="11" style="1" bestFit="1" customWidth="1"/>
    <col min="36" max="36" width="19.3984375" style="1" bestFit="1" customWidth="1"/>
    <col min="37" max="37" width="12.3984375" style="1" bestFit="1" customWidth="1"/>
    <col min="38" max="38" width="13.59765625" style="1" bestFit="1" customWidth="1"/>
    <col min="39" max="39" width="15.59765625" style="1" bestFit="1" customWidth="1"/>
    <col min="40" max="40" width="12.3984375" style="1" bestFit="1" customWidth="1"/>
    <col min="41" max="41" width="16.59765625" style="1" bestFit="1" customWidth="1"/>
    <col min="42" max="42" width="5.19921875" style="1" bestFit="1" customWidth="1"/>
    <col min="43" max="43" width="12.19921875" style="1" bestFit="1" customWidth="1"/>
    <col min="44" max="44" width="14.59765625" style="1" bestFit="1" customWidth="1"/>
    <col min="45" max="45" width="15.59765625" style="1" bestFit="1" customWidth="1"/>
    <col min="46" max="46" width="11.3984375" style="1" bestFit="1" customWidth="1"/>
    <col min="47" max="47" width="12.3984375" style="1" bestFit="1" customWidth="1"/>
    <col min="48" max="48" width="14.59765625" style="1" bestFit="1" customWidth="1"/>
    <col min="49" max="49" width="13.3984375" style="1" bestFit="1" customWidth="1"/>
    <col min="50" max="256" width="8.796875" customWidth="1"/>
  </cols>
  <sheetData>
    <row r="1" spans="1:49" s="6" customFormat="1">
      <c r="A1" s="2" t="s">
        <v>94</v>
      </c>
      <c r="B1" s="13" t="s">
        <v>121</v>
      </c>
      <c r="C1" s="9" t="s">
        <v>0</v>
      </c>
      <c r="D1" s="5" t="s">
        <v>1</v>
      </c>
      <c r="E1" s="9" t="s">
        <v>96</v>
      </c>
      <c r="F1" s="9" t="s">
        <v>104</v>
      </c>
      <c r="G1" s="9" t="s">
        <v>2</v>
      </c>
      <c r="H1" s="9" t="s">
        <v>120</v>
      </c>
      <c r="I1" s="9" t="s">
        <v>3</v>
      </c>
      <c r="J1" s="9" t="s">
        <v>95</v>
      </c>
      <c r="K1" s="5" t="s">
        <v>4</v>
      </c>
      <c r="L1" s="5" t="s">
        <v>5</v>
      </c>
      <c r="M1" s="5" t="s">
        <v>6</v>
      </c>
      <c r="N1" s="5" t="s">
        <v>7</v>
      </c>
      <c r="O1" s="4" t="s">
        <v>8</v>
      </c>
      <c r="P1" s="4" t="s">
        <v>9</v>
      </c>
      <c r="Q1" s="4" t="s">
        <v>10</v>
      </c>
      <c r="R1" s="4" t="s">
        <v>11</v>
      </c>
      <c r="S1" s="4" t="s">
        <v>12</v>
      </c>
      <c r="T1" s="4" t="s">
        <v>13</v>
      </c>
      <c r="U1" s="4" t="s">
        <v>14</v>
      </c>
      <c r="V1" s="4" t="s">
        <v>15</v>
      </c>
      <c r="W1" s="4" t="s">
        <v>16</v>
      </c>
      <c r="X1" s="4" t="s">
        <v>17</v>
      </c>
      <c r="Y1" s="4" t="s">
        <v>18</v>
      </c>
      <c r="Z1" s="4" t="s">
        <v>19</v>
      </c>
      <c r="AA1" s="4" t="s">
        <v>20</v>
      </c>
      <c r="AB1" s="4" t="s">
        <v>21</v>
      </c>
      <c r="AC1" s="4" t="s">
        <v>22</v>
      </c>
      <c r="AD1" s="4" t="s">
        <v>23</v>
      </c>
      <c r="AE1" s="4" t="s">
        <v>24</v>
      </c>
      <c r="AF1" s="4" t="s">
        <v>25</v>
      </c>
      <c r="AG1" s="4" t="s">
        <v>26</v>
      </c>
      <c r="AH1" s="4" t="s">
        <v>27</v>
      </c>
      <c r="AI1" s="4" t="s">
        <v>28</v>
      </c>
      <c r="AJ1" s="4" t="s">
        <v>29</v>
      </c>
      <c r="AK1" s="4" t="s">
        <v>30</v>
      </c>
      <c r="AL1" s="4" t="s">
        <v>31</v>
      </c>
      <c r="AM1" s="4" t="s">
        <v>32</v>
      </c>
      <c r="AN1" s="4" t="s">
        <v>33</v>
      </c>
      <c r="AO1" s="4" t="s">
        <v>34</v>
      </c>
      <c r="AP1" s="4" t="s">
        <v>35</v>
      </c>
      <c r="AQ1" s="4" t="s">
        <v>36</v>
      </c>
      <c r="AR1" s="4" t="s">
        <v>37</v>
      </c>
      <c r="AS1" s="4" t="s">
        <v>38</v>
      </c>
      <c r="AT1" s="4" t="s">
        <v>39</v>
      </c>
      <c r="AU1" s="4" t="s">
        <v>40</v>
      </c>
      <c r="AV1" s="4" t="s">
        <v>41</v>
      </c>
      <c r="AW1" s="4" t="s">
        <v>42</v>
      </c>
    </row>
    <row r="2" spans="1:49">
      <c r="A2" s="3">
        <v>1</v>
      </c>
      <c r="B2" s="14" t="s">
        <v>122</v>
      </c>
      <c r="C2" s="10">
        <v>46082</v>
      </c>
      <c r="D2" s="7" t="s">
        <v>43</v>
      </c>
      <c r="E2" s="12" t="s">
        <v>97</v>
      </c>
      <c r="F2" s="12">
        <v>140000</v>
      </c>
      <c r="G2" s="12" t="s">
        <v>102</v>
      </c>
      <c r="H2" s="12">
        <v>440</v>
      </c>
      <c r="I2" s="12" t="s">
        <v>105</v>
      </c>
      <c r="J2" s="12" t="s">
        <v>454</v>
      </c>
      <c r="K2" s="7" t="s">
        <v>44</v>
      </c>
      <c r="L2" s="7" t="s">
        <v>45</v>
      </c>
      <c r="M2" s="7" t="s">
        <v>46</v>
      </c>
      <c r="N2" s="7" t="s">
        <v>47</v>
      </c>
      <c r="O2" s="8">
        <v>12643950</v>
      </c>
      <c r="P2" s="8">
        <v>0</v>
      </c>
      <c r="Q2" s="8">
        <v>4114650</v>
      </c>
      <c r="R2" s="8">
        <v>0</v>
      </c>
      <c r="S2" s="8">
        <v>16758600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255585</v>
      </c>
      <c r="AA2" s="8">
        <v>263110</v>
      </c>
      <c r="AB2" s="8">
        <v>0</v>
      </c>
      <c r="AC2" s="8">
        <v>0</v>
      </c>
      <c r="AD2" s="8">
        <v>0</v>
      </c>
      <c r="AE2" s="8">
        <v>0</v>
      </c>
      <c r="AF2" s="8">
        <v>17277295</v>
      </c>
      <c r="AG2" s="8">
        <v>335172</v>
      </c>
      <c r="AH2" s="8">
        <v>0</v>
      </c>
      <c r="AI2" s="8">
        <v>110863</v>
      </c>
      <c r="AJ2" s="8">
        <v>0</v>
      </c>
      <c r="AK2" s="8">
        <v>1209411</v>
      </c>
      <c r="AL2" s="8">
        <v>0</v>
      </c>
      <c r="AM2" s="8">
        <v>263110</v>
      </c>
      <c r="AN2" s="8">
        <v>0</v>
      </c>
      <c r="AO2" s="8">
        <v>0</v>
      </c>
      <c r="AP2" s="8">
        <v>0</v>
      </c>
      <c r="AQ2" s="8">
        <v>0</v>
      </c>
      <c r="AR2" s="8">
        <v>0</v>
      </c>
      <c r="AS2" s="8">
        <v>0</v>
      </c>
      <c r="AT2" s="8">
        <v>0</v>
      </c>
      <c r="AU2" s="8">
        <v>1918556</v>
      </c>
      <c r="AV2" s="8">
        <v>0</v>
      </c>
      <c r="AW2" s="8">
        <v>15358739</v>
      </c>
    </row>
    <row r="3" spans="1:49">
      <c r="A3" s="3">
        <f>A2+1</f>
        <v>2</v>
      </c>
      <c r="B3" s="14" t="s">
        <v>122</v>
      </c>
      <c r="C3" s="10">
        <v>46082</v>
      </c>
      <c r="D3" s="7" t="s">
        <v>43</v>
      </c>
      <c r="E3" s="12" t="s">
        <v>97</v>
      </c>
      <c r="F3" s="12">
        <v>300000</v>
      </c>
      <c r="G3" s="12" t="s">
        <v>103</v>
      </c>
      <c r="H3" s="12">
        <v>450</v>
      </c>
      <c r="I3" s="12" t="s">
        <v>106</v>
      </c>
      <c r="J3" s="12" t="s">
        <v>454</v>
      </c>
      <c r="K3" s="7" t="s">
        <v>48</v>
      </c>
      <c r="L3" s="7" t="s">
        <v>49</v>
      </c>
      <c r="M3" s="7" t="s">
        <v>50</v>
      </c>
      <c r="N3" s="7" t="s">
        <v>47</v>
      </c>
      <c r="O3" s="8">
        <v>18608063</v>
      </c>
      <c r="P3" s="8">
        <v>0</v>
      </c>
      <c r="Q3" s="8">
        <v>5202688</v>
      </c>
      <c r="R3" s="8">
        <v>0</v>
      </c>
      <c r="S3" s="8">
        <v>23810751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348525</v>
      </c>
      <c r="AA3" s="8">
        <v>373829</v>
      </c>
      <c r="AB3" s="8">
        <v>0</v>
      </c>
      <c r="AC3" s="8">
        <v>0</v>
      </c>
      <c r="AD3" s="8">
        <v>0</v>
      </c>
      <c r="AE3" s="8">
        <v>0</v>
      </c>
      <c r="AF3" s="8">
        <v>24533105</v>
      </c>
      <c r="AG3" s="8">
        <v>476215</v>
      </c>
      <c r="AH3" s="8">
        <v>0</v>
      </c>
      <c r="AI3" s="8">
        <v>110863</v>
      </c>
      <c r="AJ3" s="8">
        <v>0</v>
      </c>
      <c r="AK3" s="8">
        <v>2207979</v>
      </c>
      <c r="AL3" s="8">
        <v>0</v>
      </c>
      <c r="AM3" s="8">
        <v>373829</v>
      </c>
      <c r="AN3" s="8">
        <v>0</v>
      </c>
      <c r="AO3" s="8">
        <v>0</v>
      </c>
      <c r="AP3" s="8">
        <v>0</v>
      </c>
      <c r="AQ3" s="8">
        <v>0</v>
      </c>
      <c r="AR3" s="8">
        <v>0</v>
      </c>
      <c r="AS3" s="8">
        <v>0</v>
      </c>
      <c r="AT3" s="8">
        <v>0</v>
      </c>
      <c r="AU3" s="8">
        <v>3168886</v>
      </c>
      <c r="AV3" s="8">
        <v>0</v>
      </c>
      <c r="AW3" s="8">
        <v>21364219</v>
      </c>
    </row>
    <row r="4" spans="1:49">
      <c r="A4" s="3">
        <f>A3+1</f>
        <v>3</v>
      </c>
      <c r="B4" s="14" t="s">
        <v>122</v>
      </c>
      <c r="C4" s="10">
        <v>46082</v>
      </c>
      <c r="D4" s="7" t="s">
        <v>43</v>
      </c>
      <c r="E4" s="12" t="s">
        <v>97</v>
      </c>
      <c r="F4" s="12">
        <v>300000</v>
      </c>
      <c r="G4" s="12" t="s">
        <v>103</v>
      </c>
      <c r="H4" s="12">
        <v>540</v>
      </c>
      <c r="I4" s="12" t="s">
        <v>107</v>
      </c>
      <c r="J4" s="12" t="s">
        <v>454</v>
      </c>
      <c r="K4" s="7" t="s">
        <v>51</v>
      </c>
      <c r="L4" s="7" t="s">
        <v>52</v>
      </c>
      <c r="M4" s="7" t="s">
        <v>53</v>
      </c>
      <c r="N4" s="7" t="s">
        <v>47</v>
      </c>
      <c r="O4" s="8">
        <v>13771350</v>
      </c>
      <c r="P4" s="8">
        <v>0</v>
      </c>
      <c r="Q4" s="8">
        <v>4590450</v>
      </c>
      <c r="R4" s="8">
        <v>0</v>
      </c>
      <c r="S4" s="8">
        <v>18361800</v>
      </c>
      <c r="T4" s="8">
        <v>2655136</v>
      </c>
      <c r="U4" s="8">
        <v>0</v>
      </c>
      <c r="V4" s="8">
        <v>0</v>
      </c>
      <c r="W4" s="8">
        <v>600000</v>
      </c>
      <c r="X4" s="8">
        <v>0</v>
      </c>
      <c r="Y4" s="8">
        <v>0</v>
      </c>
      <c r="Z4" s="8">
        <v>371760</v>
      </c>
      <c r="AA4" s="8">
        <v>288280</v>
      </c>
      <c r="AB4" s="8">
        <v>0</v>
      </c>
      <c r="AC4" s="8">
        <v>0</v>
      </c>
      <c r="AD4" s="8">
        <v>0</v>
      </c>
      <c r="AE4" s="8">
        <v>0</v>
      </c>
      <c r="AF4" s="8">
        <v>22276976</v>
      </c>
      <c r="AG4" s="8">
        <v>367236</v>
      </c>
      <c r="AH4" s="8">
        <v>0</v>
      </c>
      <c r="AI4" s="8">
        <v>110863</v>
      </c>
      <c r="AJ4" s="8">
        <v>0</v>
      </c>
      <c r="AK4" s="8">
        <v>2004928</v>
      </c>
      <c r="AL4" s="8">
        <v>0</v>
      </c>
      <c r="AM4" s="8">
        <v>288280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2771307</v>
      </c>
      <c r="AV4" s="8">
        <v>0</v>
      </c>
      <c r="AW4" s="8">
        <v>19505669</v>
      </c>
    </row>
    <row r="5" spans="1:49">
      <c r="A5" s="3">
        <f>A4+1</f>
        <v>4</v>
      </c>
      <c r="B5" s="14" t="s">
        <v>122</v>
      </c>
      <c r="C5" s="10">
        <v>46082</v>
      </c>
      <c r="D5" s="7" t="s">
        <v>43</v>
      </c>
      <c r="E5" s="12" t="s">
        <v>97</v>
      </c>
      <c r="F5" s="12">
        <v>300000</v>
      </c>
      <c r="G5" s="12" t="s">
        <v>103</v>
      </c>
      <c r="H5" s="12">
        <v>541</v>
      </c>
      <c r="I5" s="12" t="s">
        <v>108</v>
      </c>
      <c r="J5" s="12" t="s">
        <v>454</v>
      </c>
      <c r="K5" s="7" t="s">
        <v>54</v>
      </c>
      <c r="L5" s="7" t="s">
        <v>55</v>
      </c>
      <c r="M5" s="7" t="s">
        <v>56</v>
      </c>
      <c r="N5" s="7" t="s">
        <v>47</v>
      </c>
      <c r="O5" s="8">
        <v>11802360</v>
      </c>
      <c r="P5" s="8">
        <v>0</v>
      </c>
      <c r="Q5" s="8">
        <v>5107104</v>
      </c>
      <c r="R5" s="8">
        <v>0</v>
      </c>
      <c r="S5" s="8">
        <v>16909464</v>
      </c>
      <c r="T5" s="8">
        <v>2489190</v>
      </c>
      <c r="U5" s="8">
        <v>0</v>
      </c>
      <c r="V5" s="8">
        <v>0</v>
      </c>
      <c r="W5" s="8">
        <v>300000</v>
      </c>
      <c r="X5" s="8">
        <v>0</v>
      </c>
      <c r="Y5" s="8">
        <v>0</v>
      </c>
      <c r="Z5" s="8">
        <v>348525</v>
      </c>
      <c r="AA5" s="8">
        <v>265478</v>
      </c>
      <c r="AB5" s="8">
        <v>0</v>
      </c>
      <c r="AC5" s="8">
        <v>0</v>
      </c>
      <c r="AD5" s="8">
        <v>0</v>
      </c>
      <c r="AE5" s="8">
        <v>0</v>
      </c>
      <c r="AF5" s="8">
        <v>20312657</v>
      </c>
      <c r="AG5" s="8">
        <v>338189</v>
      </c>
      <c r="AH5" s="8">
        <v>0</v>
      </c>
      <c r="AI5" s="8">
        <v>110863</v>
      </c>
      <c r="AJ5" s="8">
        <v>0</v>
      </c>
      <c r="AK5" s="8">
        <v>1625013</v>
      </c>
      <c r="AL5" s="8">
        <v>0</v>
      </c>
      <c r="AM5" s="8">
        <v>265478</v>
      </c>
      <c r="AN5" s="8">
        <v>1000000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3339543</v>
      </c>
      <c r="AV5" s="8">
        <v>0</v>
      </c>
      <c r="AW5" s="8">
        <v>16973114</v>
      </c>
    </row>
    <row r="6" spans="1:49">
      <c r="A6" s="3">
        <v>1</v>
      </c>
      <c r="B6" s="14" t="s">
        <v>122</v>
      </c>
      <c r="C6" s="10">
        <v>46082</v>
      </c>
      <c r="D6" s="7" t="s">
        <v>57</v>
      </c>
      <c r="E6" s="12" t="s">
        <v>98</v>
      </c>
      <c r="F6" s="12">
        <v>140000</v>
      </c>
      <c r="G6" s="12" t="s">
        <v>102</v>
      </c>
      <c r="H6" s="12">
        <v>716</v>
      </c>
      <c r="I6" s="12" t="s">
        <v>109</v>
      </c>
      <c r="J6" s="12" t="s">
        <v>455</v>
      </c>
      <c r="K6" s="7" t="s">
        <v>58</v>
      </c>
      <c r="L6" s="7" t="s">
        <v>59</v>
      </c>
      <c r="M6" s="7" t="s">
        <v>60</v>
      </c>
      <c r="N6" s="7" t="s">
        <v>47</v>
      </c>
      <c r="O6" s="8">
        <v>5729876</v>
      </c>
      <c r="P6" s="8">
        <v>0</v>
      </c>
      <c r="Q6" s="8">
        <v>0</v>
      </c>
      <c r="R6" s="8">
        <v>0</v>
      </c>
      <c r="S6" s="8">
        <v>5729876</v>
      </c>
      <c r="T6" s="8">
        <v>935744</v>
      </c>
      <c r="U6" s="8">
        <v>0</v>
      </c>
      <c r="V6" s="8">
        <v>0</v>
      </c>
      <c r="W6" s="8">
        <v>200000</v>
      </c>
      <c r="X6" s="8">
        <v>0</v>
      </c>
      <c r="Y6" s="8">
        <v>0</v>
      </c>
      <c r="Z6" s="8">
        <v>371760</v>
      </c>
      <c r="AA6" s="8">
        <v>319154</v>
      </c>
      <c r="AB6" s="8">
        <v>0</v>
      </c>
      <c r="AC6" s="8">
        <v>0</v>
      </c>
      <c r="AD6" s="8">
        <v>0</v>
      </c>
      <c r="AE6" s="8">
        <v>0</v>
      </c>
      <c r="AF6" s="8">
        <v>7556534</v>
      </c>
      <c r="AG6" s="8">
        <v>114598</v>
      </c>
      <c r="AH6" s="8">
        <v>57299</v>
      </c>
      <c r="AI6" s="8">
        <v>57299</v>
      </c>
      <c r="AJ6" s="8">
        <v>0</v>
      </c>
      <c r="AK6" s="8">
        <v>75565</v>
      </c>
      <c r="AL6" s="8">
        <v>0</v>
      </c>
      <c r="AM6" s="8">
        <v>319154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623915</v>
      </c>
      <c r="AV6" s="8">
        <v>0</v>
      </c>
      <c r="AW6" s="8">
        <v>6932619</v>
      </c>
    </row>
    <row r="7" spans="1:49">
      <c r="A7" s="3">
        <f t="shared" ref="A7:A17" si="0">A6+1</f>
        <v>2</v>
      </c>
      <c r="B7" s="14" t="s">
        <v>122</v>
      </c>
      <c r="C7" s="10">
        <v>46082</v>
      </c>
      <c r="D7" s="7" t="s">
        <v>57</v>
      </c>
      <c r="E7" s="12" t="s">
        <v>98</v>
      </c>
      <c r="F7" s="12">
        <v>300000</v>
      </c>
      <c r="G7" s="12" t="s">
        <v>103</v>
      </c>
      <c r="H7" s="12">
        <v>537</v>
      </c>
      <c r="I7" s="12" t="s">
        <v>110</v>
      </c>
      <c r="J7" s="12" t="s">
        <v>455</v>
      </c>
      <c r="K7" s="7" t="s">
        <v>61</v>
      </c>
      <c r="L7" s="7" t="s">
        <v>62</v>
      </c>
      <c r="M7" s="7" t="s">
        <v>63</v>
      </c>
      <c r="N7" s="7" t="s">
        <v>47</v>
      </c>
      <c r="O7" s="8">
        <v>9211728</v>
      </c>
      <c r="P7" s="8">
        <v>0</v>
      </c>
      <c r="Q7" s="8">
        <v>3413496</v>
      </c>
      <c r="R7" s="8">
        <v>0</v>
      </c>
      <c r="S7" s="8">
        <v>12625224</v>
      </c>
      <c r="T7" s="8">
        <v>1984620</v>
      </c>
      <c r="U7" s="8">
        <v>0</v>
      </c>
      <c r="V7" s="8">
        <v>0</v>
      </c>
      <c r="W7" s="8">
        <v>225000</v>
      </c>
      <c r="X7" s="8">
        <v>0</v>
      </c>
      <c r="Y7" s="8">
        <v>0</v>
      </c>
      <c r="Z7" s="8">
        <v>348525</v>
      </c>
      <c r="AA7" s="8">
        <v>198216</v>
      </c>
      <c r="AB7" s="8">
        <v>0</v>
      </c>
      <c r="AC7" s="8">
        <v>0</v>
      </c>
      <c r="AD7" s="8">
        <v>0</v>
      </c>
      <c r="AE7" s="8">
        <v>0</v>
      </c>
      <c r="AF7" s="8">
        <v>15381585</v>
      </c>
      <c r="AG7" s="8">
        <v>252504</v>
      </c>
      <c r="AH7" s="8">
        <v>0</v>
      </c>
      <c r="AI7" s="8">
        <v>110863</v>
      </c>
      <c r="AJ7" s="8">
        <v>0</v>
      </c>
      <c r="AK7" s="8">
        <v>769079</v>
      </c>
      <c r="AL7" s="8">
        <v>0</v>
      </c>
      <c r="AM7" s="8">
        <v>198216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1330662</v>
      </c>
      <c r="AV7" s="8">
        <v>0</v>
      </c>
      <c r="AW7" s="8">
        <v>14050923</v>
      </c>
    </row>
    <row r="8" spans="1:49">
      <c r="A8" s="3">
        <f t="shared" si="0"/>
        <v>3</v>
      </c>
      <c r="B8" s="14" t="s">
        <v>122</v>
      </c>
      <c r="C8" s="10">
        <v>46082</v>
      </c>
      <c r="D8" s="7" t="s">
        <v>57</v>
      </c>
      <c r="E8" s="12" t="s">
        <v>98</v>
      </c>
      <c r="F8" s="12">
        <v>300000</v>
      </c>
      <c r="G8" s="12" t="s">
        <v>103</v>
      </c>
      <c r="H8" s="12">
        <v>620</v>
      </c>
      <c r="I8" s="12" t="s">
        <v>111</v>
      </c>
      <c r="J8" s="12" t="s">
        <v>455</v>
      </c>
      <c r="K8" s="7" t="s">
        <v>64</v>
      </c>
      <c r="L8" s="7" t="s">
        <v>65</v>
      </c>
      <c r="M8" s="7" t="s">
        <v>66</v>
      </c>
      <c r="N8" s="7" t="s">
        <v>67</v>
      </c>
      <c r="O8" s="8">
        <v>5196750</v>
      </c>
      <c r="P8" s="8">
        <v>0</v>
      </c>
      <c r="Q8" s="8">
        <v>1732250</v>
      </c>
      <c r="R8" s="8">
        <v>0</v>
      </c>
      <c r="S8" s="8">
        <v>6929000</v>
      </c>
      <c r="T8" s="8">
        <v>1169696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371760</v>
      </c>
      <c r="AA8" s="8">
        <v>385945</v>
      </c>
      <c r="AB8" s="8">
        <v>0</v>
      </c>
      <c r="AC8" s="8">
        <v>-277160</v>
      </c>
      <c r="AD8" s="8">
        <v>0</v>
      </c>
      <c r="AE8" s="8">
        <v>0</v>
      </c>
      <c r="AF8" s="8">
        <v>8579241</v>
      </c>
      <c r="AG8" s="8">
        <v>138580</v>
      </c>
      <c r="AH8" s="8">
        <v>69290</v>
      </c>
      <c r="AI8" s="8">
        <v>69290</v>
      </c>
      <c r="AJ8" s="8">
        <v>0</v>
      </c>
      <c r="AK8" s="8">
        <v>150137</v>
      </c>
      <c r="AL8" s="8">
        <v>0</v>
      </c>
      <c r="AM8" s="8">
        <v>385945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813242</v>
      </c>
      <c r="AV8" s="8">
        <v>0</v>
      </c>
      <c r="AW8" s="8">
        <v>7765999</v>
      </c>
    </row>
    <row r="9" spans="1:49">
      <c r="A9" s="3">
        <f t="shared" si="0"/>
        <v>4</v>
      </c>
      <c r="B9" s="14" t="s">
        <v>122</v>
      </c>
      <c r="C9" s="10">
        <v>46082</v>
      </c>
      <c r="D9" s="7" t="s">
        <v>57</v>
      </c>
      <c r="E9" s="12" t="s">
        <v>98</v>
      </c>
      <c r="F9" s="12">
        <v>300000</v>
      </c>
      <c r="G9" s="12" t="s">
        <v>103</v>
      </c>
      <c r="H9" s="12">
        <v>721</v>
      </c>
      <c r="I9" s="12" t="s">
        <v>112</v>
      </c>
      <c r="J9" s="12" t="s">
        <v>455</v>
      </c>
      <c r="K9" s="7" t="s">
        <v>68</v>
      </c>
      <c r="L9" s="7" t="s">
        <v>69</v>
      </c>
      <c r="M9" s="7"/>
      <c r="N9" s="7" t="s">
        <v>47</v>
      </c>
      <c r="O9" s="8">
        <v>5414020</v>
      </c>
      <c r="P9" s="8">
        <v>0</v>
      </c>
      <c r="Q9" s="8">
        <v>753361</v>
      </c>
      <c r="R9" s="8">
        <v>0</v>
      </c>
      <c r="S9" s="8">
        <v>6167381</v>
      </c>
      <c r="T9" s="8">
        <v>655200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325290</v>
      </c>
      <c r="AA9" s="8">
        <v>343523</v>
      </c>
      <c r="AB9" s="8">
        <v>0</v>
      </c>
      <c r="AC9" s="8">
        <v>0</v>
      </c>
      <c r="AD9" s="8">
        <v>0</v>
      </c>
      <c r="AE9" s="8">
        <v>0</v>
      </c>
      <c r="AF9" s="8">
        <v>7491394</v>
      </c>
      <c r="AG9" s="8">
        <v>123348</v>
      </c>
      <c r="AH9" s="8">
        <v>61674</v>
      </c>
      <c r="AI9" s="8">
        <v>61674</v>
      </c>
      <c r="AJ9" s="8">
        <v>0</v>
      </c>
      <c r="AK9" s="8">
        <v>93642</v>
      </c>
      <c r="AL9" s="8">
        <v>0</v>
      </c>
      <c r="AM9" s="8">
        <v>343523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683861</v>
      </c>
      <c r="AV9" s="8">
        <v>0</v>
      </c>
      <c r="AW9" s="8">
        <v>6807533</v>
      </c>
    </row>
    <row r="10" spans="1:49">
      <c r="A10" s="3">
        <f t="shared" si="0"/>
        <v>5</v>
      </c>
      <c r="B10" s="14" t="s">
        <v>122</v>
      </c>
      <c r="C10" s="10">
        <v>46082</v>
      </c>
      <c r="D10" s="7" t="s">
        <v>57</v>
      </c>
      <c r="E10" s="12" t="s">
        <v>98</v>
      </c>
      <c r="F10" s="12">
        <v>300000</v>
      </c>
      <c r="G10" s="12" t="s">
        <v>103</v>
      </c>
      <c r="H10" s="12">
        <v>721</v>
      </c>
      <c r="I10" s="12" t="s">
        <v>112</v>
      </c>
      <c r="J10" s="12" t="s">
        <v>455</v>
      </c>
      <c r="K10" s="7" t="s">
        <v>70</v>
      </c>
      <c r="L10" s="7" t="s">
        <v>71</v>
      </c>
      <c r="M10" s="7" t="s">
        <v>72</v>
      </c>
      <c r="N10" s="7" t="s">
        <v>67</v>
      </c>
      <c r="O10" s="8">
        <v>4687500</v>
      </c>
      <c r="P10" s="8">
        <v>0</v>
      </c>
      <c r="Q10" s="8">
        <v>1562500</v>
      </c>
      <c r="R10" s="8">
        <v>0</v>
      </c>
      <c r="S10" s="8">
        <v>6250000</v>
      </c>
      <c r="T10" s="8">
        <v>899776</v>
      </c>
      <c r="U10" s="8">
        <v>0</v>
      </c>
      <c r="V10" s="8">
        <v>0</v>
      </c>
      <c r="W10" s="8">
        <v>200000</v>
      </c>
      <c r="X10" s="8">
        <v>0</v>
      </c>
      <c r="Y10" s="8">
        <v>0</v>
      </c>
      <c r="Z10" s="8">
        <v>371760</v>
      </c>
      <c r="AA10" s="8">
        <v>348125</v>
      </c>
      <c r="AB10" s="8">
        <v>0</v>
      </c>
      <c r="AC10" s="8">
        <v>0</v>
      </c>
      <c r="AD10" s="8">
        <v>0</v>
      </c>
      <c r="AE10" s="8">
        <v>0</v>
      </c>
      <c r="AF10" s="8">
        <v>8069661</v>
      </c>
      <c r="AG10" s="8">
        <v>125000</v>
      </c>
      <c r="AH10" s="8">
        <v>62500</v>
      </c>
      <c r="AI10" s="8">
        <v>62500</v>
      </c>
      <c r="AJ10" s="8">
        <v>0</v>
      </c>
      <c r="AK10" s="8">
        <v>121045</v>
      </c>
      <c r="AL10" s="8">
        <v>0</v>
      </c>
      <c r="AM10" s="8">
        <v>348125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719170</v>
      </c>
      <c r="AV10" s="8">
        <v>0</v>
      </c>
      <c r="AW10" s="8">
        <v>7350491</v>
      </c>
    </row>
    <row r="11" spans="1:49">
      <c r="A11" s="3">
        <f t="shared" si="0"/>
        <v>6</v>
      </c>
      <c r="B11" s="14" t="s">
        <v>122</v>
      </c>
      <c r="C11" s="10">
        <v>46082</v>
      </c>
      <c r="D11" s="7" t="s">
        <v>57</v>
      </c>
      <c r="E11" s="12" t="s">
        <v>98</v>
      </c>
      <c r="F11" s="12">
        <v>300000</v>
      </c>
      <c r="G11" s="12" t="s">
        <v>103</v>
      </c>
      <c r="H11" s="12">
        <v>722</v>
      </c>
      <c r="I11" s="12" t="s">
        <v>113</v>
      </c>
      <c r="J11" s="12" t="s">
        <v>455</v>
      </c>
      <c r="K11" s="7" t="s">
        <v>73</v>
      </c>
      <c r="L11" s="7" t="s">
        <v>74</v>
      </c>
      <c r="M11" s="7" t="s">
        <v>75</v>
      </c>
      <c r="N11" s="7" t="s">
        <v>67</v>
      </c>
      <c r="O11" s="8">
        <v>6375000</v>
      </c>
      <c r="P11" s="8">
        <v>0</v>
      </c>
      <c r="Q11" s="8">
        <v>2125000</v>
      </c>
      <c r="R11" s="8">
        <v>0</v>
      </c>
      <c r="S11" s="8">
        <v>8500000</v>
      </c>
      <c r="T11" s="8">
        <v>702000</v>
      </c>
      <c r="U11" s="8">
        <v>0</v>
      </c>
      <c r="V11" s="8">
        <v>0</v>
      </c>
      <c r="W11" s="8">
        <v>100000</v>
      </c>
      <c r="X11" s="8">
        <v>0</v>
      </c>
      <c r="Y11" s="8">
        <v>0</v>
      </c>
      <c r="Z11" s="8">
        <v>348525</v>
      </c>
      <c r="AA11" s="8">
        <v>473450</v>
      </c>
      <c r="AB11" s="8">
        <v>0</v>
      </c>
      <c r="AC11" s="8">
        <v>0</v>
      </c>
      <c r="AD11" s="8">
        <v>0</v>
      </c>
      <c r="AE11" s="8">
        <v>0</v>
      </c>
      <c r="AF11" s="8">
        <v>10123975</v>
      </c>
      <c r="AG11" s="8">
        <v>170000</v>
      </c>
      <c r="AH11" s="8">
        <v>85000</v>
      </c>
      <c r="AI11" s="8">
        <v>85000</v>
      </c>
      <c r="AJ11" s="8">
        <v>0</v>
      </c>
      <c r="AK11" s="8">
        <v>227789</v>
      </c>
      <c r="AL11" s="8">
        <v>0</v>
      </c>
      <c r="AM11" s="8">
        <v>473450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1041239</v>
      </c>
      <c r="AV11" s="8">
        <v>0</v>
      </c>
      <c r="AW11" s="8">
        <v>9082736</v>
      </c>
    </row>
    <row r="12" spans="1:49">
      <c r="A12" s="3">
        <f t="shared" si="0"/>
        <v>7</v>
      </c>
      <c r="B12" s="14" t="s">
        <v>122</v>
      </c>
      <c r="C12" s="10">
        <v>46082</v>
      </c>
      <c r="D12" s="7" t="s">
        <v>57</v>
      </c>
      <c r="E12" s="12" t="s">
        <v>98</v>
      </c>
      <c r="F12" s="12">
        <v>300000</v>
      </c>
      <c r="G12" s="12" t="s">
        <v>103</v>
      </c>
      <c r="H12" s="12">
        <v>725</v>
      </c>
      <c r="I12" s="12" t="s">
        <v>114</v>
      </c>
      <c r="J12" s="12" t="s">
        <v>455</v>
      </c>
      <c r="K12" s="7" t="s">
        <v>76</v>
      </c>
      <c r="L12" s="7" t="s">
        <v>77</v>
      </c>
      <c r="M12" s="7" t="s">
        <v>78</v>
      </c>
      <c r="N12" s="7" t="s">
        <v>67</v>
      </c>
      <c r="O12" s="8">
        <v>7875000</v>
      </c>
      <c r="P12" s="8">
        <v>0</v>
      </c>
      <c r="Q12" s="8">
        <v>2625000</v>
      </c>
      <c r="R12" s="8">
        <v>0</v>
      </c>
      <c r="S12" s="8">
        <v>10500000</v>
      </c>
      <c r="T12" s="8">
        <v>748800</v>
      </c>
      <c r="U12" s="8">
        <v>0</v>
      </c>
      <c r="V12" s="8">
        <v>0</v>
      </c>
      <c r="W12" s="8">
        <v>200000</v>
      </c>
      <c r="X12" s="8">
        <v>0</v>
      </c>
      <c r="Y12" s="8">
        <v>0</v>
      </c>
      <c r="Z12" s="8">
        <v>371760</v>
      </c>
      <c r="AA12" s="8">
        <v>584850</v>
      </c>
      <c r="AB12" s="8">
        <v>0</v>
      </c>
      <c r="AC12" s="8">
        <v>0</v>
      </c>
      <c r="AD12" s="8">
        <v>0</v>
      </c>
      <c r="AE12" s="8">
        <v>0</v>
      </c>
      <c r="AF12" s="8">
        <v>12405410</v>
      </c>
      <c r="AG12" s="8">
        <v>210000</v>
      </c>
      <c r="AH12" s="8">
        <v>105000</v>
      </c>
      <c r="AI12" s="8">
        <v>105000</v>
      </c>
      <c r="AJ12" s="8">
        <v>0</v>
      </c>
      <c r="AK12" s="8">
        <v>372162</v>
      </c>
      <c r="AL12" s="8">
        <v>0</v>
      </c>
      <c r="AM12" s="8">
        <v>584850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1377012</v>
      </c>
      <c r="AV12" s="8">
        <v>0</v>
      </c>
      <c r="AW12" s="8">
        <v>11028398</v>
      </c>
    </row>
    <row r="13" spans="1:49">
      <c r="A13" s="3">
        <v>1</v>
      </c>
      <c r="B13" s="14" t="s">
        <v>122</v>
      </c>
      <c r="C13" s="10">
        <v>46082</v>
      </c>
      <c r="D13" s="7" t="s">
        <v>79</v>
      </c>
      <c r="E13" s="12" t="s">
        <v>99</v>
      </c>
      <c r="F13" s="12">
        <v>300000</v>
      </c>
      <c r="G13" s="12" t="s">
        <v>103</v>
      </c>
      <c r="H13" s="12">
        <v>820</v>
      </c>
      <c r="I13" s="12" t="s">
        <v>115</v>
      </c>
      <c r="J13" s="12" t="s">
        <v>456</v>
      </c>
      <c r="K13" s="7" t="s">
        <v>80</v>
      </c>
      <c r="L13" s="7" t="s">
        <v>81</v>
      </c>
      <c r="M13" s="7"/>
      <c r="N13" s="7" t="s">
        <v>67</v>
      </c>
      <c r="O13" s="8">
        <v>4403657</v>
      </c>
      <c r="P13" s="8">
        <v>1175000</v>
      </c>
      <c r="Q13" s="8">
        <v>0</v>
      </c>
      <c r="R13" s="8">
        <v>151219</v>
      </c>
      <c r="S13" s="8">
        <v>5729876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394995</v>
      </c>
      <c r="AA13" s="8">
        <v>319154</v>
      </c>
      <c r="AB13" s="8">
        <v>0</v>
      </c>
      <c r="AC13" s="8">
        <v>0</v>
      </c>
      <c r="AD13" s="8">
        <v>0</v>
      </c>
      <c r="AE13" s="8">
        <v>0</v>
      </c>
      <c r="AF13" s="8">
        <v>6444025</v>
      </c>
      <c r="AG13" s="8">
        <v>114598</v>
      </c>
      <c r="AH13" s="8">
        <v>57299</v>
      </c>
      <c r="AI13" s="8">
        <v>57299</v>
      </c>
      <c r="AJ13" s="8">
        <v>0</v>
      </c>
      <c r="AK13" s="8">
        <v>16110</v>
      </c>
      <c r="AL13" s="8">
        <v>0</v>
      </c>
      <c r="AM13" s="8">
        <v>319154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564460</v>
      </c>
      <c r="AV13" s="8">
        <v>0</v>
      </c>
      <c r="AW13" s="8">
        <v>5879565</v>
      </c>
    </row>
    <row r="14" spans="1:49">
      <c r="A14" s="3">
        <f t="shared" si="0"/>
        <v>2</v>
      </c>
      <c r="B14" s="14" t="s">
        <v>122</v>
      </c>
      <c r="C14" s="10">
        <v>46082</v>
      </c>
      <c r="D14" s="7" t="s">
        <v>79</v>
      </c>
      <c r="E14" s="12" t="s">
        <v>99</v>
      </c>
      <c r="F14" s="12">
        <v>300000</v>
      </c>
      <c r="G14" s="12" t="s">
        <v>103</v>
      </c>
      <c r="H14" s="12">
        <v>821</v>
      </c>
      <c r="I14" s="12" t="s">
        <v>116</v>
      </c>
      <c r="J14" s="12" t="s">
        <v>456</v>
      </c>
      <c r="K14" s="7" t="s">
        <v>82</v>
      </c>
      <c r="L14" s="7" t="s">
        <v>83</v>
      </c>
      <c r="M14" s="7" t="s">
        <v>84</v>
      </c>
      <c r="N14" s="7" t="s">
        <v>67</v>
      </c>
      <c r="O14" s="8">
        <v>4403657</v>
      </c>
      <c r="P14" s="8">
        <v>1175000</v>
      </c>
      <c r="Q14" s="8">
        <v>0</v>
      </c>
      <c r="R14" s="8">
        <v>151219</v>
      </c>
      <c r="S14" s="8">
        <v>5729876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394995</v>
      </c>
      <c r="AA14" s="8">
        <v>319154</v>
      </c>
      <c r="AB14" s="8">
        <v>0</v>
      </c>
      <c r="AC14" s="8">
        <v>0</v>
      </c>
      <c r="AD14" s="8">
        <v>0</v>
      </c>
      <c r="AE14" s="8">
        <v>0</v>
      </c>
      <c r="AF14" s="8">
        <v>6444025</v>
      </c>
      <c r="AG14" s="8">
        <v>114598</v>
      </c>
      <c r="AH14" s="8">
        <v>57299</v>
      </c>
      <c r="AI14" s="8">
        <v>57299</v>
      </c>
      <c r="AJ14" s="8">
        <v>0</v>
      </c>
      <c r="AK14" s="8">
        <v>64440</v>
      </c>
      <c r="AL14" s="8">
        <v>0</v>
      </c>
      <c r="AM14" s="8">
        <v>319154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612790</v>
      </c>
      <c r="AV14" s="8">
        <v>0</v>
      </c>
      <c r="AW14" s="8">
        <v>5831235</v>
      </c>
    </row>
    <row r="15" spans="1:49">
      <c r="A15" s="3">
        <f t="shared" si="0"/>
        <v>3</v>
      </c>
      <c r="B15" s="14" t="s">
        <v>122</v>
      </c>
      <c r="C15" s="10">
        <v>46082</v>
      </c>
      <c r="D15" s="7" t="s">
        <v>79</v>
      </c>
      <c r="E15" s="12" t="s">
        <v>99</v>
      </c>
      <c r="F15" s="12">
        <v>300000</v>
      </c>
      <c r="G15" s="12" t="s">
        <v>103</v>
      </c>
      <c r="H15" s="12">
        <v>822</v>
      </c>
      <c r="I15" s="12" t="s">
        <v>117</v>
      </c>
      <c r="J15" s="12" t="s">
        <v>456</v>
      </c>
      <c r="K15" s="7" t="s">
        <v>85</v>
      </c>
      <c r="L15" s="7" t="s">
        <v>86</v>
      </c>
      <c r="M15" s="7" t="s">
        <v>87</v>
      </c>
      <c r="N15" s="7" t="s">
        <v>67</v>
      </c>
      <c r="O15" s="8">
        <v>4403657</v>
      </c>
      <c r="P15" s="8">
        <v>1175000</v>
      </c>
      <c r="Q15" s="8">
        <v>0</v>
      </c>
      <c r="R15" s="8">
        <v>151220</v>
      </c>
      <c r="S15" s="8">
        <v>5729877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394995</v>
      </c>
      <c r="AA15" s="8">
        <v>319154</v>
      </c>
      <c r="AB15" s="8">
        <v>0</v>
      </c>
      <c r="AC15" s="8">
        <v>0</v>
      </c>
      <c r="AD15" s="8">
        <v>0</v>
      </c>
      <c r="AE15" s="8">
        <v>0</v>
      </c>
      <c r="AF15" s="8">
        <v>6444026</v>
      </c>
      <c r="AG15" s="8">
        <v>114598</v>
      </c>
      <c r="AH15" s="8">
        <v>57299</v>
      </c>
      <c r="AI15" s="8">
        <v>57299</v>
      </c>
      <c r="AJ15" s="8">
        <v>0</v>
      </c>
      <c r="AK15" s="8">
        <v>64440</v>
      </c>
      <c r="AL15" s="8">
        <v>0</v>
      </c>
      <c r="AM15" s="8">
        <v>319154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612790</v>
      </c>
      <c r="AV15" s="8">
        <v>0</v>
      </c>
      <c r="AW15" s="8">
        <v>5831236</v>
      </c>
    </row>
    <row r="16" spans="1:49">
      <c r="A16" s="3">
        <f t="shared" si="0"/>
        <v>4</v>
      </c>
      <c r="B16" s="14" t="s">
        <v>122</v>
      </c>
      <c r="C16" s="10">
        <v>46082</v>
      </c>
      <c r="D16" s="7" t="s">
        <v>79</v>
      </c>
      <c r="E16" s="12" t="s">
        <v>99</v>
      </c>
      <c r="F16" s="12">
        <v>300000</v>
      </c>
      <c r="G16" s="12" t="s">
        <v>103</v>
      </c>
      <c r="H16" s="12">
        <v>822</v>
      </c>
      <c r="I16" s="12" t="s">
        <v>118</v>
      </c>
      <c r="J16" s="12" t="s">
        <v>456</v>
      </c>
      <c r="K16" s="7" t="s">
        <v>88</v>
      </c>
      <c r="L16" s="7" t="s">
        <v>89</v>
      </c>
      <c r="M16" s="7" t="s">
        <v>90</v>
      </c>
      <c r="N16" s="7" t="s">
        <v>67</v>
      </c>
      <c r="O16" s="8">
        <v>4158703</v>
      </c>
      <c r="P16" s="8">
        <v>1175000</v>
      </c>
      <c r="Q16" s="8">
        <v>0</v>
      </c>
      <c r="R16" s="8">
        <v>569568</v>
      </c>
      <c r="S16" s="8">
        <v>5903271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2030316</v>
      </c>
      <c r="Z16" s="8">
        <v>394995</v>
      </c>
      <c r="AA16" s="8">
        <v>328813</v>
      </c>
      <c r="AB16" s="8">
        <v>0</v>
      </c>
      <c r="AC16" s="8">
        <v>0</v>
      </c>
      <c r="AD16" s="8">
        <v>0</v>
      </c>
      <c r="AE16" s="8">
        <v>0</v>
      </c>
      <c r="AF16" s="8">
        <v>8657395</v>
      </c>
      <c r="AG16" s="8">
        <v>118065</v>
      </c>
      <c r="AH16" s="8">
        <v>59033</v>
      </c>
      <c r="AI16" s="8">
        <v>59033</v>
      </c>
      <c r="AJ16" s="8">
        <v>0</v>
      </c>
      <c r="AK16" s="8">
        <v>86574</v>
      </c>
      <c r="AL16" s="8">
        <v>0</v>
      </c>
      <c r="AM16" s="8">
        <v>328813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651518</v>
      </c>
      <c r="AV16" s="8">
        <v>0</v>
      </c>
      <c r="AW16" s="8">
        <v>8005877</v>
      </c>
    </row>
    <row r="17" spans="1:49">
      <c r="A17" s="3">
        <f t="shared" si="0"/>
        <v>5</v>
      </c>
      <c r="B17" s="14" t="s">
        <v>122</v>
      </c>
      <c r="C17" s="10">
        <v>46082</v>
      </c>
      <c r="D17" s="7" t="s">
        <v>79</v>
      </c>
      <c r="E17" s="12" t="s">
        <v>99</v>
      </c>
      <c r="F17" s="12">
        <v>300000</v>
      </c>
      <c r="G17" s="12" t="s">
        <v>103</v>
      </c>
      <c r="H17" s="12">
        <v>826</v>
      </c>
      <c r="I17" s="12" t="s">
        <v>119</v>
      </c>
      <c r="J17" s="12" t="s">
        <v>456</v>
      </c>
      <c r="K17" s="7" t="s">
        <v>91</v>
      </c>
      <c r="L17" s="7" t="s">
        <v>92</v>
      </c>
      <c r="M17" s="7" t="s">
        <v>93</v>
      </c>
      <c r="N17" s="7" t="s">
        <v>67</v>
      </c>
      <c r="O17" s="8">
        <v>4403657</v>
      </c>
      <c r="P17" s="8">
        <v>1175000</v>
      </c>
      <c r="Q17" s="8">
        <v>0</v>
      </c>
      <c r="R17" s="8">
        <v>151220</v>
      </c>
      <c r="S17" s="8">
        <v>5729877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3527352</v>
      </c>
      <c r="Z17" s="8">
        <v>394995</v>
      </c>
      <c r="AA17" s="8">
        <v>319154</v>
      </c>
      <c r="AB17" s="8">
        <v>0</v>
      </c>
      <c r="AC17" s="8">
        <v>0</v>
      </c>
      <c r="AD17" s="8">
        <v>0</v>
      </c>
      <c r="AE17" s="8">
        <v>0</v>
      </c>
      <c r="AF17" s="8">
        <v>9971378</v>
      </c>
      <c r="AG17" s="8">
        <v>114598</v>
      </c>
      <c r="AH17" s="8">
        <v>57299</v>
      </c>
      <c r="AI17" s="8">
        <v>57299</v>
      </c>
      <c r="AJ17" s="8">
        <v>0</v>
      </c>
      <c r="AK17" s="8">
        <v>199428</v>
      </c>
      <c r="AL17" s="8">
        <v>0</v>
      </c>
      <c r="AM17" s="8">
        <v>319154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747778</v>
      </c>
      <c r="AV17" s="8">
        <v>0</v>
      </c>
      <c r="AW17" s="8">
        <v>9223600</v>
      </c>
    </row>
    <row r="18" spans="1:49">
      <c r="A18" s="15">
        <v>1</v>
      </c>
      <c r="B18" s="16" t="s">
        <v>123</v>
      </c>
      <c r="C18" s="10">
        <v>46082</v>
      </c>
      <c r="D18" s="7" t="s">
        <v>43</v>
      </c>
      <c r="E18" s="7" t="s">
        <v>97</v>
      </c>
      <c r="F18" s="7">
        <v>0</v>
      </c>
      <c r="G18" s="7" t="s">
        <v>124</v>
      </c>
      <c r="H18" s="7">
        <v>300</v>
      </c>
      <c r="I18" s="7" t="s">
        <v>125</v>
      </c>
      <c r="J18" s="7" t="s">
        <v>454</v>
      </c>
      <c r="K18" s="7" t="s">
        <v>126</v>
      </c>
      <c r="L18" s="7"/>
      <c r="M18" s="7" t="s">
        <v>127</v>
      </c>
      <c r="N18" s="7" t="s">
        <v>47</v>
      </c>
      <c r="O18" s="8">
        <v>2000000</v>
      </c>
      <c r="P18" s="8">
        <v>0</v>
      </c>
      <c r="Q18" s="8">
        <v>1000000</v>
      </c>
      <c r="R18" s="8">
        <v>7500000</v>
      </c>
      <c r="S18" s="8">
        <f>SUM(O18:R18)</f>
        <v>10500000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325290</v>
      </c>
      <c r="AA18" s="8">
        <v>565250</v>
      </c>
      <c r="AB18" s="8">
        <v>0</v>
      </c>
      <c r="AC18" s="8">
        <v>375861</v>
      </c>
      <c r="AD18" s="8">
        <v>0</v>
      </c>
      <c r="AE18" s="8">
        <v>0</v>
      </c>
      <c r="AF18" s="8">
        <v>48766401</v>
      </c>
      <c r="AG18" s="8">
        <v>950000</v>
      </c>
      <c r="AH18" s="8">
        <v>0</v>
      </c>
      <c r="AI18" s="8">
        <v>110863</v>
      </c>
      <c r="AJ18" s="8">
        <v>0</v>
      </c>
      <c r="AK18" s="8">
        <v>8290288</v>
      </c>
      <c r="AL18" s="8">
        <v>0</v>
      </c>
      <c r="AM18" s="8">
        <v>565250</v>
      </c>
      <c r="AN18" s="8">
        <v>954300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10870701</v>
      </c>
      <c r="AV18" s="8">
        <v>0</v>
      </c>
      <c r="AW18" s="8">
        <v>37895700</v>
      </c>
    </row>
    <row r="19" spans="1:49">
      <c r="A19" s="15">
        <f t="shared" ref="A19:A27" si="1">+A18+1</f>
        <v>2</v>
      </c>
      <c r="B19" s="16" t="s">
        <v>123</v>
      </c>
      <c r="C19" s="10">
        <v>46082</v>
      </c>
      <c r="D19" s="7" t="s">
        <v>43</v>
      </c>
      <c r="E19" s="7" t="s">
        <v>97</v>
      </c>
      <c r="F19" s="7">
        <v>0</v>
      </c>
      <c r="G19" s="7" t="s">
        <v>124</v>
      </c>
      <c r="H19" s="7">
        <v>320</v>
      </c>
      <c r="I19" s="7" t="s">
        <v>128</v>
      </c>
      <c r="J19" s="7" t="s">
        <v>454</v>
      </c>
      <c r="K19" s="7" t="s">
        <v>129</v>
      </c>
      <c r="L19" s="7"/>
      <c r="M19" s="7" t="s">
        <v>130</v>
      </c>
      <c r="N19" s="7" t="s">
        <v>47</v>
      </c>
      <c r="O19" s="8">
        <v>2000000</v>
      </c>
      <c r="P19" s="8">
        <v>0</v>
      </c>
      <c r="Q19" s="8">
        <v>1000000</v>
      </c>
      <c r="R19" s="8">
        <v>0</v>
      </c>
      <c r="S19" s="8">
        <f t="shared" ref="S19:S27" si="2">SUM(O19:R19)</f>
        <v>3000000</v>
      </c>
      <c r="T19" s="8">
        <v>13347360</v>
      </c>
      <c r="U19" s="8">
        <v>0</v>
      </c>
      <c r="V19" s="8">
        <v>0</v>
      </c>
      <c r="W19" s="8">
        <v>1500000</v>
      </c>
      <c r="X19" s="8">
        <v>0</v>
      </c>
      <c r="Y19" s="8">
        <v>0</v>
      </c>
      <c r="Z19" s="8">
        <v>371760</v>
      </c>
      <c r="AA19" s="8">
        <v>478142</v>
      </c>
      <c r="AB19" s="8">
        <v>0</v>
      </c>
      <c r="AC19" s="8">
        <v>0</v>
      </c>
      <c r="AD19" s="8">
        <v>0</v>
      </c>
      <c r="AE19" s="8">
        <v>0</v>
      </c>
      <c r="AF19" s="8">
        <v>55877262</v>
      </c>
      <c r="AG19" s="8">
        <v>803600</v>
      </c>
      <c r="AH19" s="8">
        <v>0</v>
      </c>
      <c r="AI19" s="8">
        <v>110863</v>
      </c>
      <c r="AJ19" s="8">
        <v>0</v>
      </c>
      <c r="AK19" s="8">
        <v>10616680</v>
      </c>
      <c r="AL19" s="8">
        <v>0</v>
      </c>
      <c r="AM19" s="8">
        <v>478142</v>
      </c>
      <c r="AN19" s="8">
        <v>7638889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19648174</v>
      </c>
      <c r="AV19" s="8">
        <v>0</v>
      </c>
      <c r="AW19" s="8">
        <v>36229088</v>
      </c>
    </row>
    <row r="20" spans="1:49">
      <c r="A20" s="15">
        <f t="shared" si="1"/>
        <v>3</v>
      </c>
      <c r="B20" s="16" t="s">
        <v>123</v>
      </c>
      <c r="C20" s="10">
        <v>46082</v>
      </c>
      <c r="D20" s="7" t="s">
        <v>43</v>
      </c>
      <c r="E20" s="7" t="s">
        <v>97</v>
      </c>
      <c r="F20" s="7">
        <v>110000</v>
      </c>
      <c r="G20" s="7" t="s">
        <v>131</v>
      </c>
      <c r="H20" s="7">
        <v>410</v>
      </c>
      <c r="I20" s="7" t="s">
        <v>132</v>
      </c>
      <c r="J20" s="7" t="s">
        <v>454</v>
      </c>
      <c r="K20" s="7" t="s">
        <v>133</v>
      </c>
      <c r="L20" s="7"/>
      <c r="M20" s="7" t="s">
        <v>134</v>
      </c>
      <c r="N20" s="7" t="s">
        <v>47</v>
      </c>
      <c r="O20" s="8">
        <v>2000000</v>
      </c>
      <c r="P20" s="8">
        <v>0</v>
      </c>
      <c r="Q20" s="8">
        <v>1000000</v>
      </c>
      <c r="R20" s="8">
        <v>0</v>
      </c>
      <c r="S20" s="8">
        <f t="shared" si="2"/>
        <v>3000000</v>
      </c>
      <c r="T20" s="8">
        <v>3614190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348525</v>
      </c>
      <c r="AA20" s="8">
        <v>218707</v>
      </c>
      <c r="AB20" s="8">
        <v>0</v>
      </c>
      <c r="AC20" s="8">
        <v>0</v>
      </c>
      <c r="AD20" s="8">
        <v>0</v>
      </c>
      <c r="AE20" s="8">
        <v>0</v>
      </c>
      <c r="AF20" s="8">
        <v>22560158</v>
      </c>
      <c r="AG20" s="8">
        <v>367575</v>
      </c>
      <c r="AH20" s="8">
        <v>0</v>
      </c>
      <c r="AI20" s="8">
        <v>110863</v>
      </c>
      <c r="AJ20" s="8">
        <v>0</v>
      </c>
      <c r="AK20" s="8">
        <v>2030414</v>
      </c>
      <c r="AL20" s="8">
        <v>0</v>
      </c>
      <c r="AM20" s="8">
        <v>218707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2727559</v>
      </c>
      <c r="AV20" s="8">
        <v>0</v>
      </c>
      <c r="AW20" s="8">
        <v>19832599</v>
      </c>
    </row>
    <row r="21" spans="1:49">
      <c r="A21" s="15">
        <f t="shared" si="1"/>
        <v>4</v>
      </c>
      <c r="B21" s="16" t="s">
        <v>123</v>
      </c>
      <c r="C21" s="10">
        <v>46082</v>
      </c>
      <c r="D21" s="7" t="s">
        <v>43</v>
      </c>
      <c r="E21" s="7" t="s">
        <v>97</v>
      </c>
      <c r="F21" s="7">
        <v>140000</v>
      </c>
      <c r="G21" s="7" t="s">
        <v>100</v>
      </c>
      <c r="H21" s="7">
        <v>440</v>
      </c>
      <c r="I21" s="7" t="s">
        <v>105</v>
      </c>
      <c r="J21" s="7" t="s">
        <v>454</v>
      </c>
      <c r="K21" s="7" t="s">
        <v>135</v>
      </c>
      <c r="L21" s="7"/>
      <c r="M21" s="7" t="s">
        <v>136</v>
      </c>
      <c r="N21" s="7" t="s">
        <v>47</v>
      </c>
      <c r="O21" s="8">
        <v>2000000</v>
      </c>
      <c r="P21" s="8">
        <v>0</v>
      </c>
      <c r="Q21" s="8">
        <v>1000000</v>
      </c>
      <c r="R21" s="8">
        <v>2392258</v>
      </c>
      <c r="S21" s="8">
        <f t="shared" si="2"/>
        <v>5392258</v>
      </c>
      <c r="T21" s="8">
        <v>8745750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348525</v>
      </c>
      <c r="AA21" s="8">
        <v>304557</v>
      </c>
      <c r="AB21" s="8">
        <v>0</v>
      </c>
      <c r="AC21" s="8">
        <v>0</v>
      </c>
      <c r="AD21" s="8">
        <v>0</v>
      </c>
      <c r="AE21" s="8">
        <v>0</v>
      </c>
      <c r="AF21" s="8">
        <v>34991864</v>
      </c>
      <c r="AG21" s="8">
        <v>511861</v>
      </c>
      <c r="AH21" s="8">
        <v>0</v>
      </c>
      <c r="AI21" s="8">
        <v>110863</v>
      </c>
      <c r="AJ21" s="8">
        <v>0</v>
      </c>
      <c r="AK21" s="8">
        <v>4548942</v>
      </c>
      <c r="AL21" s="8">
        <v>0</v>
      </c>
      <c r="AM21" s="8">
        <v>304557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5476223</v>
      </c>
      <c r="AV21" s="8">
        <v>0</v>
      </c>
      <c r="AW21" s="8">
        <v>29515641</v>
      </c>
    </row>
    <row r="22" spans="1:49">
      <c r="A22" s="15">
        <f t="shared" si="1"/>
        <v>5</v>
      </c>
      <c r="B22" s="16" t="s">
        <v>123</v>
      </c>
      <c r="C22" s="10">
        <v>46082</v>
      </c>
      <c r="D22" s="7" t="s">
        <v>43</v>
      </c>
      <c r="E22" s="7" t="s">
        <v>97</v>
      </c>
      <c r="F22" s="7">
        <v>140000</v>
      </c>
      <c r="G22" s="7" t="s">
        <v>100</v>
      </c>
      <c r="H22" s="7">
        <v>440</v>
      </c>
      <c r="I22" s="7" t="s">
        <v>105</v>
      </c>
      <c r="J22" s="7" t="s">
        <v>454</v>
      </c>
      <c r="K22" s="7" t="s">
        <v>137</v>
      </c>
      <c r="L22" s="7"/>
      <c r="M22" s="7" t="s">
        <v>138</v>
      </c>
      <c r="N22" s="7" t="s">
        <v>47</v>
      </c>
      <c r="O22" s="8">
        <v>2000000</v>
      </c>
      <c r="P22" s="8">
        <v>0</v>
      </c>
      <c r="Q22" s="8">
        <v>1000000</v>
      </c>
      <c r="R22" s="8">
        <v>0</v>
      </c>
      <c r="S22" s="8">
        <f t="shared" si="2"/>
        <v>3000000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325290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32125290</v>
      </c>
      <c r="AG22" s="8">
        <v>0</v>
      </c>
      <c r="AH22" s="8">
        <v>0</v>
      </c>
      <c r="AI22" s="8">
        <v>0</v>
      </c>
      <c r="AJ22" s="8">
        <v>0</v>
      </c>
      <c r="AK22" s="8">
        <v>4176288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4176288</v>
      </c>
      <c r="AV22" s="8">
        <v>0</v>
      </c>
      <c r="AW22" s="8">
        <v>27949002</v>
      </c>
    </row>
    <row r="23" spans="1:49">
      <c r="A23" s="15">
        <f t="shared" si="1"/>
        <v>6</v>
      </c>
      <c r="B23" s="16" t="s">
        <v>123</v>
      </c>
      <c r="C23" s="10">
        <v>46082</v>
      </c>
      <c r="D23" s="7" t="s">
        <v>43</v>
      </c>
      <c r="E23" s="7" t="s">
        <v>97</v>
      </c>
      <c r="F23" s="7">
        <v>140000</v>
      </c>
      <c r="G23" s="7" t="s">
        <v>100</v>
      </c>
      <c r="H23" s="7">
        <v>441</v>
      </c>
      <c r="I23" s="7" t="s">
        <v>139</v>
      </c>
      <c r="J23" s="7" t="s">
        <v>454</v>
      </c>
      <c r="K23" s="7" t="s">
        <v>140</v>
      </c>
      <c r="L23" s="7"/>
      <c r="M23" s="7" t="s">
        <v>141</v>
      </c>
      <c r="N23" s="7" t="s">
        <v>47</v>
      </c>
      <c r="O23" s="8">
        <v>2000000</v>
      </c>
      <c r="P23" s="8">
        <v>0</v>
      </c>
      <c r="Q23" s="8">
        <v>1000000</v>
      </c>
      <c r="R23" s="8">
        <v>0</v>
      </c>
      <c r="S23" s="8">
        <f t="shared" si="2"/>
        <v>3000000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325290</v>
      </c>
      <c r="AA23" s="8">
        <v>165183</v>
      </c>
      <c r="AB23" s="8">
        <v>0</v>
      </c>
      <c r="AC23" s="8">
        <v>0</v>
      </c>
      <c r="AD23" s="8">
        <v>0</v>
      </c>
      <c r="AE23" s="8">
        <v>0</v>
      </c>
      <c r="AF23" s="8">
        <v>14371393</v>
      </c>
      <c r="AG23" s="8">
        <v>277618</v>
      </c>
      <c r="AH23" s="8">
        <v>0</v>
      </c>
      <c r="AI23" s="8">
        <v>110863</v>
      </c>
      <c r="AJ23" s="8">
        <v>0</v>
      </c>
      <c r="AK23" s="8">
        <v>718570</v>
      </c>
      <c r="AL23" s="8">
        <v>0</v>
      </c>
      <c r="AM23" s="8">
        <v>165183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1272234</v>
      </c>
      <c r="AV23" s="8">
        <v>0</v>
      </c>
      <c r="AW23" s="8">
        <v>13099159</v>
      </c>
    </row>
    <row r="24" spans="1:49">
      <c r="A24" s="15">
        <f t="shared" si="1"/>
        <v>7</v>
      </c>
      <c r="B24" s="16" t="s">
        <v>123</v>
      </c>
      <c r="C24" s="10">
        <v>46082</v>
      </c>
      <c r="D24" s="7" t="s">
        <v>43</v>
      </c>
      <c r="E24" s="7" t="s">
        <v>97</v>
      </c>
      <c r="F24" s="7">
        <v>150000</v>
      </c>
      <c r="G24" s="7" t="s">
        <v>142</v>
      </c>
      <c r="H24" s="7">
        <v>543</v>
      </c>
      <c r="I24" s="7" t="s">
        <v>143</v>
      </c>
      <c r="J24" s="7" t="s">
        <v>454</v>
      </c>
      <c r="K24" s="7" t="s">
        <v>144</v>
      </c>
      <c r="L24" s="7"/>
      <c r="M24" s="7" t="s">
        <v>145</v>
      </c>
      <c r="N24" s="7" t="s">
        <v>47</v>
      </c>
      <c r="O24" s="8">
        <v>2000000</v>
      </c>
      <c r="P24" s="8">
        <v>0</v>
      </c>
      <c r="Q24" s="8">
        <v>1000000</v>
      </c>
      <c r="R24" s="8">
        <v>3000000</v>
      </c>
      <c r="S24" s="8">
        <f t="shared" si="2"/>
        <v>6000000</v>
      </c>
      <c r="T24" s="8">
        <v>2323244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325290</v>
      </c>
      <c r="AA24" s="8">
        <v>275290</v>
      </c>
      <c r="AB24" s="8">
        <v>0</v>
      </c>
      <c r="AC24" s="8">
        <v>0</v>
      </c>
      <c r="AD24" s="8">
        <v>0</v>
      </c>
      <c r="AE24" s="8">
        <v>0</v>
      </c>
      <c r="AF24" s="8">
        <v>26057449</v>
      </c>
      <c r="AG24" s="8">
        <v>462673</v>
      </c>
      <c r="AH24" s="8">
        <v>0</v>
      </c>
      <c r="AI24" s="8">
        <v>110863</v>
      </c>
      <c r="AJ24" s="8">
        <v>0</v>
      </c>
      <c r="AK24" s="8">
        <v>2605745</v>
      </c>
      <c r="AL24" s="8">
        <v>0</v>
      </c>
      <c r="AM24" s="8">
        <v>275290</v>
      </c>
      <c r="AN24" s="8">
        <v>0</v>
      </c>
      <c r="AO24" s="8">
        <v>0</v>
      </c>
      <c r="AP24" s="8">
        <v>0</v>
      </c>
      <c r="AQ24" s="8">
        <v>0</v>
      </c>
      <c r="AR24" s="8">
        <v>-112000</v>
      </c>
      <c r="AS24" s="8">
        <v>0</v>
      </c>
      <c r="AT24" s="8">
        <v>0</v>
      </c>
      <c r="AU24" s="8">
        <v>3342571</v>
      </c>
      <c r="AV24" s="8">
        <v>0</v>
      </c>
      <c r="AW24" s="8">
        <v>22714878</v>
      </c>
    </row>
    <row r="25" spans="1:49">
      <c r="A25" s="15">
        <f t="shared" si="1"/>
        <v>8</v>
      </c>
      <c r="B25" s="16" t="s">
        <v>123</v>
      </c>
      <c r="C25" s="10">
        <v>46082</v>
      </c>
      <c r="D25" s="7" t="s">
        <v>43</v>
      </c>
      <c r="E25" s="7" t="s">
        <v>97</v>
      </c>
      <c r="F25" s="7">
        <v>200000</v>
      </c>
      <c r="G25" s="7" t="s">
        <v>146</v>
      </c>
      <c r="H25" s="7">
        <v>430</v>
      </c>
      <c r="I25" s="7" t="s">
        <v>147</v>
      </c>
      <c r="J25" s="7" t="s">
        <v>454</v>
      </c>
      <c r="K25" s="7" t="s">
        <v>148</v>
      </c>
      <c r="L25" s="7"/>
      <c r="M25" s="7" t="s">
        <v>149</v>
      </c>
      <c r="N25" s="7" t="s">
        <v>47</v>
      </c>
      <c r="O25" s="8">
        <v>2000000</v>
      </c>
      <c r="P25" s="8">
        <v>0</v>
      </c>
      <c r="Q25" s="8">
        <v>1000000</v>
      </c>
      <c r="R25" s="8">
        <v>0</v>
      </c>
      <c r="S25" s="8">
        <f t="shared" si="2"/>
        <v>3000000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325290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34455347</v>
      </c>
      <c r="AG25" s="8">
        <v>0</v>
      </c>
      <c r="AH25" s="8">
        <v>0</v>
      </c>
      <c r="AI25" s="8">
        <v>0</v>
      </c>
      <c r="AJ25" s="8">
        <v>0</v>
      </c>
      <c r="AK25" s="8">
        <v>4479195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4479195</v>
      </c>
      <c r="AV25" s="8">
        <v>0</v>
      </c>
      <c r="AW25" s="8">
        <v>29976152</v>
      </c>
    </row>
    <row r="26" spans="1:49">
      <c r="A26" s="15">
        <f t="shared" si="1"/>
        <v>9</v>
      </c>
      <c r="B26" s="16" t="s">
        <v>123</v>
      </c>
      <c r="C26" s="10">
        <v>46082</v>
      </c>
      <c r="D26" s="7" t="s">
        <v>43</v>
      </c>
      <c r="E26" s="7" t="s">
        <v>97</v>
      </c>
      <c r="F26" s="7">
        <v>200000</v>
      </c>
      <c r="G26" s="7" t="s">
        <v>146</v>
      </c>
      <c r="H26" s="7">
        <v>553</v>
      </c>
      <c r="I26" s="7" t="s">
        <v>150</v>
      </c>
      <c r="J26" s="7" t="s">
        <v>454</v>
      </c>
      <c r="K26" s="7" t="s">
        <v>151</v>
      </c>
      <c r="L26" s="7"/>
      <c r="M26" s="7" t="s">
        <v>152</v>
      </c>
      <c r="N26" s="7" t="s">
        <v>47</v>
      </c>
      <c r="O26" s="8">
        <v>2000000</v>
      </c>
      <c r="P26" s="8">
        <v>0</v>
      </c>
      <c r="Q26" s="8">
        <v>1000000</v>
      </c>
      <c r="R26" s="8">
        <v>0</v>
      </c>
      <c r="S26" s="8">
        <f t="shared" si="2"/>
        <v>3000000</v>
      </c>
      <c r="T26" s="8">
        <v>2800000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325290</v>
      </c>
      <c r="AA26" s="8">
        <v>242236</v>
      </c>
      <c r="AB26" s="8">
        <v>0</v>
      </c>
      <c r="AC26" s="8">
        <v>0</v>
      </c>
      <c r="AD26" s="8">
        <v>0</v>
      </c>
      <c r="AE26" s="8">
        <v>0</v>
      </c>
      <c r="AF26" s="8">
        <v>23723497</v>
      </c>
      <c r="AG26" s="8">
        <v>407119</v>
      </c>
      <c r="AH26" s="8">
        <v>0</v>
      </c>
      <c r="AI26" s="8">
        <v>110863</v>
      </c>
      <c r="AJ26" s="8">
        <v>0</v>
      </c>
      <c r="AK26" s="8">
        <v>2135115</v>
      </c>
      <c r="AL26" s="8">
        <v>0</v>
      </c>
      <c r="AM26" s="8">
        <v>242236</v>
      </c>
      <c r="AN26" s="8">
        <v>0</v>
      </c>
      <c r="AO26" s="8">
        <v>0</v>
      </c>
      <c r="AP26" s="8">
        <v>0</v>
      </c>
      <c r="AQ26" s="8">
        <v>0</v>
      </c>
      <c r="AR26" s="8">
        <v>-98000</v>
      </c>
      <c r="AS26" s="8">
        <v>100000</v>
      </c>
      <c r="AT26" s="8">
        <v>0</v>
      </c>
      <c r="AU26" s="8">
        <v>2897333</v>
      </c>
      <c r="AV26" s="8">
        <v>0</v>
      </c>
      <c r="AW26" s="8">
        <v>20826164</v>
      </c>
    </row>
    <row r="27" spans="1:49">
      <c r="A27" s="15">
        <f t="shared" si="1"/>
        <v>10</v>
      </c>
      <c r="B27" s="16" t="s">
        <v>123</v>
      </c>
      <c r="C27" s="10">
        <v>46082</v>
      </c>
      <c r="D27" s="7" t="s">
        <v>43</v>
      </c>
      <c r="E27" s="7" t="s">
        <v>97</v>
      </c>
      <c r="F27" s="7">
        <v>700000</v>
      </c>
      <c r="G27" s="7" t="s">
        <v>153</v>
      </c>
      <c r="H27" s="7">
        <v>400</v>
      </c>
      <c r="I27" s="7" t="s">
        <v>154</v>
      </c>
      <c r="J27" s="7" t="s">
        <v>454</v>
      </c>
      <c r="K27" s="7" t="s">
        <v>155</v>
      </c>
      <c r="L27" s="7"/>
      <c r="M27" s="7" t="s">
        <v>156</v>
      </c>
      <c r="N27" s="7" t="s">
        <v>47</v>
      </c>
      <c r="O27" s="8">
        <v>2000000</v>
      </c>
      <c r="P27" s="8">
        <v>0</v>
      </c>
      <c r="Q27" s="8">
        <v>1000000</v>
      </c>
      <c r="R27" s="8">
        <v>0</v>
      </c>
      <c r="S27" s="8">
        <f t="shared" si="2"/>
        <v>3000000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464700</v>
      </c>
      <c r="AA27" s="8">
        <v>212880</v>
      </c>
      <c r="AB27" s="8">
        <v>0</v>
      </c>
      <c r="AC27" s="8">
        <v>246000</v>
      </c>
      <c r="AD27" s="8">
        <v>0</v>
      </c>
      <c r="AE27" s="8">
        <v>0</v>
      </c>
      <c r="AF27" s="8">
        <v>18812653</v>
      </c>
      <c r="AG27" s="8">
        <v>357781</v>
      </c>
      <c r="AH27" s="8">
        <v>0</v>
      </c>
      <c r="AI27" s="8">
        <v>110863</v>
      </c>
      <c r="AJ27" s="8">
        <v>0</v>
      </c>
      <c r="AK27" s="8">
        <v>1316886</v>
      </c>
      <c r="AL27" s="8">
        <v>0</v>
      </c>
      <c r="AM27" s="8">
        <v>212880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100000</v>
      </c>
      <c r="AT27" s="8">
        <v>0</v>
      </c>
      <c r="AU27" s="8">
        <v>2098410</v>
      </c>
      <c r="AV27" s="8">
        <v>0</v>
      </c>
      <c r="AW27" s="8">
        <v>16714243</v>
      </c>
    </row>
    <row r="28" spans="1:49">
      <c r="A28" s="15">
        <v>1</v>
      </c>
      <c r="B28" s="16" t="s">
        <v>123</v>
      </c>
      <c r="C28" s="10">
        <v>46082</v>
      </c>
      <c r="D28" s="7" t="s">
        <v>57</v>
      </c>
      <c r="E28" s="7" t="s">
        <v>98</v>
      </c>
      <c r="F28" s="7">
        <v>100000</v>
      </c>
      <c r="G28" s="7" t="s">
        <v>157</v>
      </c>
      <c r="H28" s="7">
        <v>532</v>
      </c>
      <c r="I28" s="7" t="s">
        <v>158</v>
      </c>
      <c r="J28" s="7" t="s">
        <v>455</v>
      </c>
      <c r="K28" s="7" t="s">
        <v>159</v>
      </c>
      <c r="L28" s="7"/>
      <c r="M28" s="7" t="s">
        <v>160</v>
      </c>
      <c r="N28" s="7" t="s">
        <v>47</v>
      </c>
      <c r="O28" s="8">
        <v>10026415</v>
      </c>
      <c r="P28" s="8">
        <v>0</v>
      </c>
      <c r="Q28" s="8">
        <v>5136739</v>
      </c>
      <c r="R28" s="8">
        <v>0</v>
      </c>
      <c r="S28" s="8">
        <v>15163154</v>
      </c>
      <c r="T28" s="8">
        <v>2116928</v>
      </c>
      <c r="U28" s="8">
        <v>0</v>
      </c>
      <c r="V28" s="8">
        <v>0</v>
      </c>
      <c r="W28" s="8">
        <v>450000</v>
      </c>
      <c r="X28" s="8">
        <v>0</v>
      </c>
      <c r="Y28" s="8">
        <v>0</v>
      </c>
      <c r="Z28" s="8">
        <v>371760</v>
      </c>
      <c r="AA28" s="8">
        <v>180441</v>
      </c>
      <c r="AB28" s="8">
        <v>0</v>
      </c>
      <c r="AC28" s="8">
        <v>0</v>
      </c>
      <c r="AD28" s="8">
        <v>0</v>
      </c>
      <c r="AE28" s="8">
        <v>0</v>
      </c>
      <c r="AF28" s="8">
        <v>18282283</v>
      </c>
      <c r="AG28" s="8">
        <v>303263</v>
      </c>
      <c r="AH28" s="8">
        <v>0</v>
      </c>
      <c r="AI28" s="8">
        <v>110863</v>
      </c>
      <c r="AJ28" s="8">
        <v>0</v>
      </c>
      <c r="AK28" s="8">
        <v>1279760</v>
      </c>
      <c r="AL28" s="8">
        <v>0</v>
      </c>
      <c r="AM28" s="8">
        <v>180441</v>
      </c>
      <c r="AN28" s="8">
        <v>0</v>
      </c>
      <c r="AO28" s="8">
        <v>0</v>
      </c>
      <c r="AP28" s="8">
        <v>35500</v>
      </c>
      <c r="AQ28" s="8">
        <v>0</v>
      </c>
      <c r="AR28" s="8">
        <v>0</v>
      </c>
      <c r="AS28" s="8">
        <v>2725000</v>
      </c>
      <c r="AT28" s="8">
        <v>0</v>
      </c>
      <c r="AU28" s="8">
        <v>4634827</v>
      </c>
      <c r="AV28" s="8">
        <v>0</v>
      </c>
      <c r="AW28" s="8">
        <v>13647456</v>
      </c>
    </row>
    <row r="29" spans="1:49">
      <c r="A29" s="15">
        <f>+A28+1</f>
        <v>2</v>
      </c>
      <c r="B29" s="16" t="s">
        <v>123</v>
      </c>
      <c r="C29" s="10">
        <v>46082</v>
      </c>
      <c r="D29" s="7" t="s">
        <v>57</v>
      </c>
      <c r="E29" s="7" t="s">
        <v>98</v>
      </c>
      <c r="F29" s="7">
        <v>100000</v>
      </c>
      <c r="G29" s="7" t="s">
        <v>157</v>
      </c>
      <c r="H29" s="7">
        <v>550</v>
      </c>
      <c r="I29" s="7" t="s">
        <v>161</v>
      </c>
      <c r="J29" s="7" t="s">
        <v>455</v>
      </c>
      <c r="K29" s="7" t="s">
        <v>162</v>
      </c>
      <c r="L29" s="7"/>
      <c r="M29" s="7" t="s">
        <v>163</v>
      </c>
      <c r="N29" s="7" t="s">
        <v>67</v>
      </c>
      <c r="O29" s="8">
        <v>4530000</v>
      </c>
      <c r="P29" s="8">
        <v>0</v>
      </c>
      <c r="Q29" s="8">
        <v>2260000</v>
      </c>
      <c r="R29" s="8">
        <v>0</v>
      </c>
      <c r="S29" s="8">
        <v>6790000</v>
      </c>
      <c r="T29" s="8">
        <v>1023484</v>
      </c>
      <c r="U29" s="8">
        <v>0</v>
      </c>
      <c r="V29" s="8">
        <v>36000</v>
      </c>
      <c r="W29" s="8">
        <v>0</v>
      </c>
      <c r="X29" s="8">
        <v>0</v>
      </c>
      <c r="Y29" s="8">
        <v>0</v>
      </c>
      <c r="Z29" s="8">
        <v>232350</v>
      </c>
      <c r="AA29" s="8">
        <v>352401</v>
      </c>
      <c r="AB29" s="8">
        <v>0</v>
      </c>
      <c r="AC29" s="8">
        <v>0</v>
      </c>
      <c r="AD29" s="8">
        <v>0</v>
      </c>
      <c r="AE29" s="8">
        <v>0</v>
      </c>
      <c r="AF29" s="8">
        <v>8434235</v>
      </c>
      <c r="AG29" s="8">
        <v>135800</v>
      </c>
      <c r="AH29" s="8">
        <v>67900</v>
      </c>
      <c r="AI29" s="8">
        <v>67900</v>
      </c>
      <c r="AJ29" s="8">
        <v>0</v>
      </c>
      <c r="AK29" s="8">
        <v>126514</v>
      </c>
      <c r="AL29" s="8">
        <v>0</v>
      </c>
      <c r="AM29" s="8">
        <v>352401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750515</v>
      </c>
      <c r="AV29" s="8">
        <v>0</v>
      </c>
      <c r="AW29" s="8">
        <v>7683720</v>
      </c>
    </row>
    <row r="30" spans="1:49">
      <c r="A30" s="15">
        <f t="shared" ref="A30:A92" si="3">+A29+1</f>
        <v>3</v>
      </c>
      <c r="B30" s="16" t="s">
        <v>123</v>
      </c>
      <c r="C30" s="10">
        <v>46082</v>
      </c>
      <c r="D30" s="7" t="s">
        <v>57</v>
      </c>
      <c r="E30" s="7" t="s">
        <v>98</v>
      </c>
      <c r="F30" s="7">
        <v>100000</v>
      </c>
      <c r="G30" s="7" t="s">
        <v>157</v>
      </c>
      <c r="H30" s="7">
        <v>600</v>
      </c>
      <c r="I30" s="7" t="s">
        <v>164</v>
      </c>
      <c r="J30" s="7" t="s">
        <v>455</v>
      </c>
      <c r="K30" s="7" t="s">
        <v>165</v>
      </c>
      <c r="L30" s="7"/>
      <c r="M30" s="7" t="s">
        <v>166</v>
      </c>
      <c r="N30" s="7" t="s">
        <v>47</v>
      </c>
      <c r="O30" s="8">
        <v>8019581</v>
      </c>
      <c r="P30" s="8">
        <v>0</v>
      </c>
      <c r="Q30" s="8">
        <v>2117098</v>
      </c>
      <c r="R30" s="8">
        <v>500000</v>
      </c>
      <c r="S30" s="8">
        <v>10636679</v>
      </c>
      <c r="T30" s="8">
        <v>1023484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325290</v>
      </c>
      <c r="AA30" s="8">
        <v>552043</v>
      </c>
      <c r="AB30" s="8">
        <v>0</v>
      </c>
      <c r="AC30" s="8">
        <v>0</v>
      </c>
      <c r="AD30" s="8">
        <v>0</v>
      </c>
      <c r="AE30" s="8">
        <v>0</v>
      </c>
      <c r="AF30" s="8">
        <v>12537496</v>
      </c>
      <c r="AG30" s="8">
        <v>212734</v>
      </c>
      <c r="AH30" s="8">
        <v>106367</v>
      </c>
      <c r="AI30" s="8">
        <v>106367</v>
      </c>
      <c r="AJ30" s="8">
        <v>0</v>
      </c>
      <c r="AK30" s="8">
        <v>376125</v>
      </c>
      <c r="AL30" s="8">
        <v>0</v>
      </c>
      <c r="AM30" s="8">
        <v>552043</v>
      </c>
      <c r="AN30" s="8">
        <v>0</v>
      </c>
      <c r="AO30" s="8">
        <v>0</v>
      </c>
      <c r="AP30" s="8">
        <v>35500</v>
      </c>
      <c r="AQ30" s="8">
        <v>0</v>
      </c>
      <c r="AR30" s="8">
        <v>-70000</v>
      </c>
      <c r="AS30" s="8">
        <v>0</v>
      </c>
      <c r="AT30" s="8">
        <v>0</v>
      </c>
      <c r="AU30" s="8">
        <v>1319136</v>
      </c>
      <c r="AV30" s="8">
        <v>0</v>
      </c>
      <c r="AW30" s="8">
        <v>11218360</v>
      </c>
    </row>
    <row r="31" spans="1:49">
      <c r="A31" s="15">
        <f t="shared" si="3"/>
        <v>4</v>
      </c>
      <c r="B31" s="16" t="s">
        <v>123</v>
      </c>
      <c r="C31" s="10">
        <v>46082</v>
      </c>
      <c r="D31" s="7" t="s">
        <v>57</v>
      </c>
      <c r="E31" s="7" t="s">
        <v>98</v>
      </c>
      <c r="F31" s="7">
        <v>100000</v>
      </c>
      <c r="G31" s="7" t="s">
        <v>157</v>
      </c>
      <c r="H31" s="7">
        <v>601</v>
      </c>
      <c r="I31" s="7" t="s">
        <v>167</v>
      </c>
      <c r="J31" s="7" t="s">
        <v>455</v>
      </c>
      <c r="K31" s="7" t="s">
        <v>168</v>
      </c>
      <c r="L31" s="7"/>
      <c r="M31" s="7" t="s">
        <v>169</v>
      </c>
      <c r="N31" s="7" t="s">
        <v>47</v>
      </c>
      <c r="O31" s="8">
        <v>6242972</v>
      </c>
      <c r="P31" s="8">
        <v>0</v>
      </c>
      <c r="Q31" s="8">
        <v>1514360</v>
      </c>
      <c r="R31" s="8">
        <v>0</v>
      </c>
      <c r="S31" s="8">
        <v>7757332</v>
      </c>
      <c r="T31" s="8">
        <v>1023484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325290</v>
      </c>
      <c r="AA31" s="8">
        <v>402605</v>
      </c>
      <c r="AB31" s="8">
        <v>0</v>
      </c>
      <c r="AC31" s="8">
        <v>0</v>
      </c>
      <c r="AD31" s="8">
        <v>0</v>
      </c>
      <c r="AE31" s="8">
        <v>0</v>
      </c>
      <c r="AF31" s="8">
        <v>9508711</v>
      </c>
      <c r="AG31" s="8">
        <v>155147</v>
      </c>
      <c r="AH31" s="8">
        <v>77573</v>
      </c>
      <c r="AI31" s="8">
        <v>77573</v>
      </c>
      <c r="AJ31" s="8">
        <v>0</v>
      </c>
      <c r="AK31" s="8">
        <v>142631</v>
      </c>
      <c r="AL31" s="8">
        <v>0</v>
      </c>
      <c r="AM31" s="8">
        <v>402605</v>
      </c>
      <c r="AN31" s="8">
        <v>0</v>
      </c>
      <c r="AO31" s="8">
        <v>0</v>
      </c>
      <c r="AP31" s="8">
        <v>35500</v>
      </c>
      <c r="AQ31" s="8">
        <v>0</v>
      </c>
      <c r="AR31" s="8">
        <v>-98000</v>
      </c>
      <c r="AS31" s="8">
        <v>625000</v>
      </c>
      <c r="AT31" s="8">
        <v>0</v>
      </c>
      <c r="AU31" s="8">
        <v>1418029</v>
      </c>
      <c r="AV31" s="8">
        <v>0</v>
      </c>
      <c r="AW31" s="8">
        <v>8090682</v>
      </c>
    </row>
    <row r="32" spans="1:49">
      <c r="A32" s="15">
        <f t="shared" si="3"/>
        <v>5</v>
      </c>
      <c r="B32" s="16" t="s">
        <v>123</v>
      </c>
      <c r="C32" s="10">
        <v>46082</v>
      </c>
      <c r="D32" s="7" t="s">
        <v>57</v>
      </c>
      <c r="E32" s="7" t="s">
        <v>98</v>
      </c>
      <c r="F32" s="7">
        <v>100000</v>
      </c>
      <c r="G32" s="7" t="s">
        <v>157</v>
      </c>
      <c r="H32" s="7">
        <v>602</v>
      </c>
      <c r="I32" s="7" t="s">
        <v>170</v>
      </c>
      <c r="J32" s="7" t="s">
        <v>455</v>
      </c>
      <c r="K32" s="7" t="s">
        <v>171</v>
      </c>
      <c r="L32" s="7"/>
      <c r="M32" s="7" t="s">
        <v>172</v>
      </c>
      <c r="N32" s="7" t="s">
        <v>67</v>
      </c>
      <c r="O32" s="8">
        <v>5718750</v>
      </c>
      <c r="P32" s="8">
        <v>0</v>
      </c>
      <c r="Q32" s="8">
        <v>1906250</v>
      </c>
      <c r="R32" s="8">
        <v>0</v>
      </c>
      <c r="S32" s="8">
        <v>7625000</v>
      </c>
      <c r="T32" s="8">
        <v>852908</v>
      </c>
      <c r="U32" s="8">
        <v>0</v>
      </c>
      <c r="V32" s="8">
        <v>63000</v>
      </c>
      <c r="W32" s="8">
        <v>0</v>
      </c>
      <c r="X32" s="8">
        <v>0</v>
      </c>
      <c r="Y32" s="8">
        <v>0</v>
      </c>
      <c r="Z32" s="8">
        <v>162645</v>
      </c>
      <c r="AA32" s="8">
        <v>395738</v>
      </c>
      <c r="AB32" s="8">
        <v>0</v>
      </c>
      <c r="AC32" s="8">
        <v>0</v>
      </c>
      <c r="AD32" s="8">
        <v>0</v>
      </c>
      <c r="AE32" s="8">
        <v>0</v>
      </c>
      <c r="AF32" s="8">
        <v>9099291</v>
      </c>
      <c r="AG32" s="8">
        <v>152500</v>
      </c>
      <c r="AH32" s="8">
        <v>76250</v>
      </c>
      <c r="AI32" s="8">
        <v>76250</v>
      </c>
      <c r="AJ32" s="8">
        <v>0</v>
      </c>
      <c r="AK32" s="8">
        <v>90993</v>
      </c>
      <c r="AL32" s="8">
        <v>0</v>
      </c>
      <c r="AM32" s="8">
        <v>395738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791731</v>
      </c>
      <c r="AV32" s="8">
        <v>0</v>
      </c>
      <c r="AW32" s="8">
        <v>8307560</v>
      </c>
    </row>
    <row r="33" spans="1:49">
      <c r="A33" s="15">
        <f t="shared" si="3"/>
        <v>6</v>
      </c>
      <c r="B33" s="16" t="s">
        <v>123</v>
      </c>
      <c r="C33" s="10">
        <v>46082</v>
      </c>
      <c r="D33" s="7" t="s">
        <v>57</v>
      </c>
      <c r="E33" s="7" t="s">
        <v>98</v>
      </c>
      <c r="F33" s="7">
        <v>100000</v>
      </c>
      <c r="G33" s="7" t="s">
        <v>157</v>
      </c>
      <c r="H33" s="7">
        <v>602</v>
      </c>
      <c r="I33" s="7" t="s">
        <v>170</v>
      </c>
      <c r="J33" s="7" t="s">
        <v>455</v>
      </c>
      <c r="K33" s="7" t="s">
        <v>173</v>
      </c>
      <c r="L33" s="7"/>
      <c r="M33" s="7" t="s">
        <v>174</v>
      </c>
      <c r="N33" s="7" t="s">
        <v>47</v>
      </c>
      <c r="O33" s="8">
        <v>6915467</v>
      </c>
      <c r="P33" s="8">
        <v>0</v>
      </c>
      <c r="Q33" s="8">
        <v>1624148</v>
      </c>
      <c r="R33" s="8">
        <v>0</v>
      </c>
      <c r="S33" s="8">
        <v>8539615</v>
      </c>
      <c r="T33" s="8">
        <v>1023484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325290</v>
      </c>
      <c r="AA33" s="8">
        <v>443207</v>
      </c>
      <c r="AB33" s="8">
        <v>0</v>
      </c>
      <c r="AC33" s="8">
        <v>0</v>
      </c>
      <c r="AD33" s="8">
        <v>0</v>
      </c>
      <c r="AE33" s="8">
        <v>0</v>
      </c>
      <c r="AF33" s="8">
        <v>10331596</v>
      </c>
      <c r="AG33" s="8">
        <v>170792</v>
      </c>
      <c r="AH33" s="8">
        <v>85396</v>
      </c>
      <c r="AI33" s="8">
        <v>85396</v>
      </c>
      <c r="AJ33" s="8">
        <v>0</v>
      </c>
      <c r="AK33" s="8">
        <v>154974</v>
      </c>
      <c r="AL33" s="8">
        <v>0</v>
      </c>
      <c r="AM33" s="8">
        <v>443207</v>
      </c>
      <c r="AN33" s="8">
        <v>0</v>
      </c>
      <c r="AO33" s="8">
        <v>0</v>
      </c>
      <c r="AP33" s="8">
        <v>35500</v>
      </c>
      <c r="AQ33" s="8">
        <v>0</v>
      </c>
      <c r="AR33" s="8">
        <v>-98000</v>
      </c>
      <c r="AS33" s="8">
        <v>4571992</v>
      </c>
      <c r="AT33" s="8">
        <v>0</v>
      </c>
      <c r="AU33" s="8">
        <v>5449257</v>
      </c>
      <c r="AV33" s="8">
        <v>0</v>
      </c>
      <c r="AW33" s="8">
        <v>4882339</v>
      </c>
    </row>
    <row r="34" spans="1:49">
      <c r="A34" s="15">
        <f t="shared" si="3"/>
        <v>7</v>
      </c>
      <c r="B34" s="16" t="s">
        <v>123</v>
      </c>
      <c r="C34" s="10">
        <v>46082</v>
      </c>
      <c r="D34" s="7" t="s">
        <v>57</v>
      </c>
      <c r="E34" s="7" t="s">
        <v>98</v>
      </c>
      <c r="F34" s="7">
        <v>100000</v>
      </c>
      <c r="G34" s="7" t="s">
        <v>157</v>
      </c>
      <c r="H34" s="7">
        <v>603</v>
      </c>
      <c r="I34" s="7" t="s">
        <v>175</v>
      </c>
      <c r="J34" s="7" t="s">
        <v>455</v>
      </c>
      <c r="K34" s="7" t="s">
        <v>176</v>
      </c>
      <c r="L34" s="7"/>
      <c r="M34" s="7" t="s">
        <v>177</v>
      </c>
      <c r="N34" s="7" t="s">
        <v>47</v>
      </c>
      <c r="O34" s="8">
        <v>5794939</v>
      </c>
      <c r="P34" s="8">
        <v>0</v>
      </c>
      <c r="Q34" s="8">
        <v>1225010</v>
      </c>
      <c r="R34" s="8">
        <v>0</v>
      </c>
      <c r="S34" s="8">
        <v>7019949</v>
      </c>
      <c r="T34" s="8">
        <v>1023484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325290</v>
      </c>
      <c r="AA34" s="8">
        <v>364336</v>
      </c>
      <c r="AB34" s="8">
        <v>0</v>
      </c>
      <c r="AC34" s="8">
        <v>0</v>
      </c>
      <c r="AD34" s="8">
        <v>0</v>
      </c>
      <c r="AE34" s="8">
        <v>0</v>
      </c>
      <c r="AF34" s="8">
        <v>8733059</v>
      </c>
      <c r="AG34" s="8">
        <v>140399</v>
      </c>
      <c r="AH34" s="8">
        <v>70199</v>
      </c>
      <c r="AI34" s="8">
        <v>70199</v>
      </c>
      <c r="AJ34" s="8">
        <v>0</v>
      </c>
      <c r="AK34" s="8">
        <v>87331</v>
      </c>
      <c r="AL34" s="8">
        <v>0</v>
      </c>
      <c r="AM34" s="8">
        <v>364336</v>
      </c>
      <c r="AN34" s="8">
        <v>0</v>
      </c>
      <c r="AO34" s="8">
        <v>0</v>
      </c>
      <c r="AP34" s="8">
        <v>35500</v>
      </c>
      <c r="AQ34" s="8">
        <v>0</v>
      </c>
      <c r="AR34" s="8">
        <v>0</v>
      </c>
      <c r="AS34" s="8">
        <v>2860698</v>
      </c>
      <c r="AT34" s="8">
        <v>0</v>
      </c>
      <c r="AU34" s="8">
        <v>3628662</v>
      </c>
      <c r="AV34" s="8">
        <v>0</v>
      </c>
      <c r="AW34" s="8">
        <v>5104397</v>
      </c>
    </row>
    <row r="35" spans="1:49">
      <c r="A35" s="15">
        <f t="shared" si="3"/>
        <v>8</v>
      </c>
      <c r="B35" s="16" t="s">
        <v>123</v>
      </c>
      <c r="C35" s="10">
        <v>46082</v>
      </c>
      <c r="D35" s="7" t="s">
        <v>57</v>
      </c>
      <c r="E35" s="7" t="s">
        <v>98</v>
      </c>
      <c r="F35" s="7">
        <v>100000</v>
      </c>
      <c r="G35" s="7" t="s">
        <v>157</v>
      </c>
      <c r="H35" s="7">
        <v>603</v>
      </c>
      <c r="I35" s="7" t="s">
        <v>175</v>
      </c>
      <c r="J35" s="7" t="s">
        <v>455</v>
      </c>
      <c r="K35" s="7" t="s">
        <v>178</v>
      </c>
      <c r="L35" s="7"/>
      <c r="M35" s="7" t="s">
        <v>179</v>
      </c>
      <c r="N35" s="7" t="s">
        <v>47</v>
      </c>
      <c r="O35" s="8">
        <v>6553926</v>
      </c>
      <c r="P35" s="8">
        <v>0</v>
      </c>
      <c r="Q35" s="8">
        <v>1289896</v>
      </c>
      <c r="R35" s="8">
        <v>750000</v>
      </c>
      <c r="S35" s="8">
        <v>8593822</v>
      </c>
      <c r="T35" s="8">
        <v>1023484</v>
      </c>
      <c r="U35" s="8">
        <v>0</v>
      </c>
      <c r="V35" s="8">
        <v>0</v>
      </c>
      <c r="W35" s="8">
        <v>0</v>
      </c>
      <c r="X35" s="8">
        <v>480000</v>
      </c>
      <c r="Y35" s="8">
        <v>0</v>
      </c>
      <c r="Z35" s="8">
        <v>325290</v>
      </c>
      <c r="AA35" s="8">
        <v>446019</v>
      </c>
      <c r="AB35" s="8">
        <v>0</v>
      </c>
      <c r="AC35" s="8">
        <v>0</v>
      </c>
      <c r="AD35" s="8">
        <v>0</v>
      </c>
      <c r="AE35" s="8">
        <v>0</v>
      </c>
      <c r="AF35" s="8">
        <v>10868615</v>
      </c>
      <c r="AG35" s="8">
        <v>171876</v>
      </c>
      <c r="AH35" s="8">
        <v>85938</v>
      </c>
      <c r="AI35" s="8">
        <v>85938</v>
      </c>
      <c r="AJ35" s="8">
        <v>0</v>
      </c>
      <c r="AK35" s="8">
        <v>217372</v>
      </c>
      <c r="AL35" s="8">
        <v>0</v>
      </c>
      <c r="AM35" s="8">
        <v>446019</v>
      </c>
      <c r="AN35" s="8">
        <v>0</v>
      </c>
      <c r="AO35" s="8">
        <v>0</v>
      </c>
      <c r="AP35" s="8">
        <v>35500</v>
      </c>
      <c r="AQ35" s="8">
        <v>0</v>
      </c>
      <c r="AR35" s="8">
        <v>0</v>
      </c>
      <c r="AS35" s="8">
        <v>3250000</v>
      </c>
      <c r="AT35" s="8">
        <v>0</v>
      </c>
      <c r="AU35" s="8">
        <v>4292643</v>
      </c>
      <c r="AV35" s="8">
        <v>0</v>
      </c>
      <c r="AW35" s="8">
        <v>6575972</v>
      </c>
    </row>
    <row r="36" spans="1:49">
      <c r="A36" s="15">
        <f t="shared" si="3"/>
        <v>9</v>
      </c>
      <c r="B36" s="16" t="s">
        <v>123</v>
      </c>
      <c r="C36" s="10">
        <v>46082</v>
      </c>
      <c r="D36" s="7" t="s">
        <v>57</v>
      </c>
      <c r="E36" s="7" t="s">
        <v>98</v>
      </c>
      <c r="F36" s="7">
        <v>100000</v>
      </c>
      <c r="G36" s="7" t="s">
        <v>157</v>
      </c>
      <c r="H36" s="7">
        <v>603</v>
      </c>
      <c r="I36" s="7" t="s">
        <v>175</v>
      </c>
      <c r="J36" s="7" t="s">
        <v>455</v>
      </c>
      <c r="K36" s="7" t="s">
        <v>180</v>
      </c>
      <c r="L36" s="7"/>
      <c r="M36" s="7" t="s">
        <v>181</v>
      </c>
      <c r="N36" s="7" t="s">
        <v>67</v>
      </c>
      <c r="O36" s="8">
        <v>5662500</v>
      </c>
      <c r="P36" s="8">
        <v>0</v>
      </c>
      <c r="Q36" s="8">
        <v>1887500</v>
      </c>
      <c r="R36" s="8">
        <v>0</v>
      </c>
      <c r="S36" s="8">
        <v>7550000</v>
      </c>
      <c r="T36" s="8">
        <v>670142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255585</v>
      </c>
      <c r="AA36" s="8">
        <v>391845</v>
      </c>
      <c r="AB36" s="8">
        <v>0</v>
      </c>
      <c r="AC36" s="8">
        <v>-359524</v>
      </c>
      <c r="AD36" s="8">
        <v>0</v>
      </c>
      <c r="AE36" s="8">
        <v>0</v>
      </c>
      <c r="AF36" s="8">
        <v>8508048</v>
      </c>
      <c r="AG36" s="8">
        <v>151000</v>
      </c>
      <c r="AH36" s="8">
        <v>75500</v>
      </c>
      <c r="AI36" s="8">
        <v>75500</v>
      </c>
      <c r="AJ36" s="8">
        <v>0</v>
      </c>
      <c r="AK36" s="8">
        <v>85080</v>
      </c>
      <c r="AL36" s="8">
        <v>0</v>
      </c>
      <c r="AM36" s="8">
        <v>391845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778925</v>
      </c>
      <c r="AV36" s="8">
        <v>0</v>
      </c>
      <c r="AW36" s="8">
        <v>7729123</v>
      </c>
    </row>
    <row r="37" spans="1:49">
      <c r="A37" s="15">
        <f t="shared" si="3"/>
        <v>10</v>
      </c>
      <c r="B37" s="16" t="s">
        <v>123</v>
      </c>
      <c r="C37" s="10">
        <v>46082</v>
      </c>
      <c r="D37" s="7" t="s">
        <v>57</v>
      </c>
      <c r="E37" s="7" t="s">
        <v>98</v>
      </c>
      <c r="F37" s="7">
        <v>100000</v>
      </c>
      <c r="G37" s="7" t="s">
        <v>157</v>
      </c>
      <c r="H37" s="7">
        <v>711</v>
      </c>
      <c r="I37" s="7" t="s">
        <v>182</v>
      </c>
      <c r="J37" s="7" t="s">
        <v>455</v>
      </c>
      <c r="K37" s="7" t="s">
        <v>183</v>
      </c>
      <c r="L37" s="7"/>
      <c r="M37" s="7" t="s">
        <v>184</v>
      </c>
      <c r="N37" s="7" t="s">
        <v>67</v>
      </c>
      <c r="O37" s="8">
        <v>5250000</v>
      </c>
      <c r="P37" s="8">
        <v>0</v>
      </c>
      <c r="Q37" s="8">
        <v>1750000</v>
      </c>
      <c r="R37" s="8">
        <v>0</v>
      </c>
      <c r="S37" s="8">
        <v>7000000</v>
      </c>
      <c r="T37" s="8">
        <v>787304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325290</v>
      </c>
      <c r="AA37" s="8">
        <v>363300</v>
      </c>
      <c r="AB37" s="8">
        <v>0</v>
      </c>
      <c r="AC37" s="8">
        <v>0</v>
      </c>
      <c r="AD37" s="8">
        <v>0</v>
      </c>
      <c r="AE37" s="8">
        <v>0</v>
      </c>
      <c r="AF37" s="8">
        <v>8475894</v>
      </c>
      <c r="AG37" s="8">
        <v>140000</v>
      </c>
      <c r="AH37" s="8">
        <v>70000</v>
      </c>
      <c r="AI37" s="8">
        <v>70000</v>
      </c>
      <c r="AJ37" s="8">
        <v>0</v>
      </c>
      <c r="AK37" s="8">
        <v>127138</v>
      </c>
      <c r="AL37" s="8">
        <v>0</v>
      </c>
      <c r="AM37" s="8">
        <v>363300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770438</v>
      </c>
      <c r="AV37" s="8">
        <v>0</v>
      </c>
      <c r="AW37" s="8">
        <v>7705456</v>
      </c>
    </row>
    <row r="38" spans="1:49">
      <c r="A38" s="15">
        <f t="shared" si="3"/>
        <v>11</v>
      </c>
      <c r="B38" s="16" t="s">
        <v>123</v>
      </c>
      <c r="C38" s="10">
        <v>46082</v>
      </c>
      <c r="D38" s="7" t="s">
        <v>57</v>
      </c>
      <c r="E38" s="7" t="s">
        <v>98</v>
      </c>
      <c r="F38" s="7">
        <v>100000</v>
      </c>
      <c r="G38" s="7" t="s">
        <v>157</v>
      </c>
      <c r="H38" s="7">
        <v>806</v>
      </c>
      <c r="I38" s="7" t="s">
        <v>185</v>
      </c>
      <c r="J38" s="7" t="s">
        <v>455</v>
      </c>
      <c r="K38" s="7" t="s">
        <v>186</v>
      </c>
      <c r="L38" s="7"/>
      <c r="M38" s="7" t="s">
        <v>187</v>
      </c>
      <c r="N38" s="7" t="s">
        <v>67</v>
      </c>
      <c r="O38" s="8">
        <v>4415140</v>
      </c>
      <c r="P38" s="8">
        <v>0</v>
      </c>
      <c r="Q38" s="8">
        <v>1471713</v>
      </c>
      <c r="R38" s="8">
        <v>0</v>
      </c>
      <c r="S38" s="8">
        <v>5886853</v>
      </c>
      <c r="T38" s="8">
        <v>350000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325290</v>
      </c>
      <c r="AA38" s="8">
        <v>305528</v>
      </c>
      <c r="AB38" s="8">
        <v>0</v>
      </c>
      <c r="AC38" s="8">
        <v>0</v>
      </c>
      <c r="AD38" s="8">
        <v>0</v>
      </c>
      <c r="AE38" s="8">
        <v>0</v>
      </c>
      <c r="AF38" s="8">
        <v>6867671</v>
      </c>
      <c r="AG38" s="8">
        <v>117737</v>
      </c>
      <c r="AH38" s="8">
        <v>58869</v>
      </c>
      <c r="AI38" s="8">
        <v>58869</v>
      </c>
      <c r="AJ38" s="8">
        <v>0</v>
      </c>
      <c r="AK38" s="8">
        <v>85846</v>
      </c>
      <c r="AL38" s="8">
        <v>0</v>
      </c>
      <c r="AM38" s="8">
        <v>305528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626849</v>
      </c>
      <c r="AV38" s="8">
        <v>0</v>
      </c>
      <c r="AW38" s="8">
        <v>6240822</v>
      </c>
    </row>
    <row r="39" spans="1:49">
      <c r="A39" s="15">
        <f t="shared" si="3"/>
        <v>12</v>
      </c>
      <c r="B39" s="16" t="s">
        <v>123</v>
      </c>
      <c r="C39" s="10">
        <v>46082</v>
      </c>
      <c r="D39" s="7" t="s">
        <v>57</v>
      </c>
      <c r="E39" s="7" t="s">
        <v>98</v>
      </c>
      <c r="F39" s="7">
        <v>100000</v>
      </c>
      <c r="G39" s="7" t="s">
        <v>157</v>
      </c>
      <c r="H39" s="7">
        <v>807</v>
      </c>
      <c r="I39" s="7" t="s">
        <v>188</v>
      </c>
      <c r="J39" s="7" t="s">
        <v>455</v>
      </c>
      <c r="K39" s="7" t="s">
        <v>189</v>
      </c>
      <c r="L39" s="7"/>
      <c r="M39" s="7" t="s">
        <v>190</v>
      </c>
      <c r="N39" s="7" t="s">
        <v>47</v>
      </c>
      <c r="O39" s="8">
        <v>6621390</v>
      </c>
      <c r="P39" s="8">
        <v>0</v>
      </c>
      <c r="Q39" s="8">
        <v>2207113</v>
      </c>
      <c r="R39" s="8">
        <v>0</v>
      </c>
      <c r="S39" s="8">
        <v>8828503</v>
      </c>
      <c r="T39" s="8">
        <v>1023484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325290</v>
      </c>
      <c r="AA39" s="8">
        <v>458200</v>
      </c>
      <c r="AB39" s="8">
        <v>0</v>
      </c>
      <c r="AC39" s="8">
        <v>0</v>
      </c>
      <c r="AD39" s="8">
        <v>0</v>
      </c>
      <c r="AE39" s="8">
        <v>0</v>
      </c>
      <c r="AF39" s="8">
        <v>10635477</v>
      </c>
      <c r="AG39" s="8">
        <v>176570</v>
      </c>
      <c r="AH39" s="8">
        <v>88285</v>
      </c>
      <c r="AI39" s="8">
        <v>88285</v>
      </c>
      <c r="AJ39" s="8">
        <v>0</v>
      </c>
      <c r="AK39" s="8">
        <v>159532</v>
      </c>
      <c r="AL39" s="8">
        <v>0</v>
      </c>
      <c r="AM39" s="8">
        <v>458200</v>
      </c>
      <c r="AN39" s="8">
        <v>0</v>
      </c>
      <c r="AO39" s="8">
        <v>0</v>
      </c>
      <c r="AP39" s="8">
        <v>35500</v>
      </c>
      <c r="AQ39" s="8">
        <v>0</v>
      </c>
      <c r="AR39" s="8">
        <v>0</v>
      </c>
      <c r="AS39" s="8">
        <v>3375160</v>
      </c>
      <c r="AT39" s="8">
        <v>0</v>
      </c>
      <c r="AU39" s="8">
        <v>4381532</v>
      </c>
      <c r="AV39" s="8">
        <v>0</v>
      </c>
      <c r="AW39" s="8">
        <v>6253945</v>
      </c>
    </row>
    <row r="40" spans="1:49">
      <c r="A40" s="15">
        <f t="shared" si="3"/>
        <v>13</v>
      </c>
      <c r="B40" s="16" t="s">
        <v>123</v>
      </c>
      <c r="C40" s="10">
        <v>46082</v>
      </c>
      <c r="D40" s="7" t="s">
        <v>57</v>
      </c>
      <c r="E40" s="7" t="s">
        <v>98</v>
      </c>
      <c r="F40" s="7">
        <v>110000</v>
      </c>
      <c r="G40" s="7" t="s">
        <v>131</v>
      </c>
      <c r="H40" s="7">
        <v>510</v>
      </c>
      <c r="I40" s="7" t="s">
        <v>191</v>
      </c>
      <c r="J40" s="7" t="s">
        <v>455</v>
      </c>
      <c r="K40" s="7" t="s">
        <v>192</v>
      </c>
      <c r="L40" s="7"/>
      <c r="M40" s="7" t="s">
        <v>193</v>
      </c>
      <c r="N40" s="7" t="s">
        <v>47</v>
      </c>
      <c r="O40" s="8">
        <v>10134483</v>
      </c>
      <c r="P40" s="8">
        <v>0</v>
      </c>
      <c r="Q40" s="8">
        <v>3004893</v>
      </c>
      <c r="R40" s="8">
        <v>0</v>
      </c>
      <c r="S40" s="8">
        <v>13139376</v>
      </c>
      <c r="T40" s="8">
        <v>2116928</v>
      </c>
      <c r="U40" s="8">
        <v>0</v>
      </c>
      <c r="V40" s="8">
        <v>0</v>
      </c>
      <c r="W40" s="8">
        <v>450000</v>
      </c>
      <c r="X40" s="8">
        <v>0</v>
      </c>
      <c r="Y40" s="8">
        <v>0</v>
      </c>
      <c r="Z40" s="8">
        <v>371760</v>
      </c>
      <c r="AA40" s="8">
        <v>156358</v>
      </c>
      <c r="AB40" s="8">
        <v>0</v>
      </c>
      <c r="AC40" s="8">
        <v>0</v>
      </c>
      <c r="AD40" s="8">
        <v>0</v>
      </c>
      <c r="AE40" s="8">
        <v>0</v>
      </c>
      <c r="AF40" s="8">
        <v>16234422</v>
      </c>
      <c r="AG40" s="8">
        <v>262788</v>
      </c>
      <c r="AH40" s="8">
        <v>0</v>
      </c>
      <c r="AI40" s="8">
        <v>110863</v>
      </c>
      <c r="AJ40" s="8">
        <v>0</v>
      </c>
      <c r="AK40" s="8">
        <v>1136410</v>
      </c>
      <c r="AL40" s="8">
        <v>0</v>
      </c>
      <c r="AM40" s="8">
        <v>156358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1666419</v>
      </c>
      <c r="AV40" s="8">
        <v>0</v>
      </c>
      <c r="AW40" s="8">
        <v>14568003</v>
      </c>
    </row>
    <row r="41" spans="1:49">
      <c r="A41" s="15">
        <f t="shared" si="3"/>
        <v>14</v>
      </c>
      <c r="B41" s="16" t="s">
        <v>123</v>
      </c>
      <c r="C41" s="10">
        <v>46082</v>
      </c>
      <c r="D41" s="7" t="s">
        <v>57</v>
      </c>
      <c r="E41" s="7" t="s">
        <v>98</v>
      </c>
      <c r="F41" s="7">
        <v>110000</v>
      </c>
      <c r="G41" s="7" t="s">
        <v>131</v>
      </c>
      <c r="H41" s="7">
        <v>511</v>
      </c>
      <c r="I41" s="7" t="s">
        <v>194</v>
      </c>
      <c r="J41" s="7" t="s">
        <v>455</v>
      </c>
      <c r="K41" s="7" t="s">
        <v>195</v>
      </c>
      <c r="L41" s="7"/>
      <c r="M41" s="7" t="s">
        <v>196</v>
      </c>
      <c r="N41" s="7" t="s">
        <v>67</v>
      </c>
      <c r="O41" s="8">
        <v>10875000</v>
      </c>
      <c r="P41" s="8">
        <v>0</v>
      </c>
      <c r="Q41" s="8">
        <v>3625000</v>
      </c>
      <c r="R41" s="8">
        <v>0</v>
      </c>
      <c r="S41" s="8">
        <v>14500000</v>
      </c>
      <c r="T41" s="8">
        <v>1984620</v>
      </c>
      <c r="U41" s="8">
        <v>0</v>
      </c>
      <c r="V41" s="8">
        <v>0</v>
      </c>
      <c r="W41" s="8">
        <v>225000</v>
      </c>
      <c r="X41" s="8">
        <v>0</v>
      </c>
      <c r="Y41" s="8">
        <v>0</v>
      </c>
      <c r="Z41" s="8">
        <v>348525</v>
      </c>
      <c r="AA41" s="8">
        <v>172550</v>
      </c>
      <c r="AB41" s="8">
        <v>0</v>
      </c>
      <c r="AC41" s="8">
        <v>0</v>
      </c>
      <c r="AD41" s="8">
        <v>0</v>
      </c>
      <c r="AE41" s="8">
        <v>0</v>
      </c>
      <c r="AF41" s="8">
        <v>17230695</v>
      </c>
      <c r="AG41" s="8">
        <v>290000</v>
      </c>
      <c r="AH41" s="8">
        <v>0</v>
      </c>
      <c r="AI41" s="8">
        <v>110863</v>
      </c>
      <c r="AJ41" s="8">
        <v>0</v>
      </c>
      <c r="AK41" s="8">
        <v>1206149</v>
      </c>
      <c r="AL41" s="8">
        <v>0</v>
      </c>
      <c r="AM41" s="8">
        <v>172550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1779562</v>
      </c>
      <c r="AV41" s="8">
        <v>0</v>
      </c>
      <c r="AW41" s="8">
        <v>15451133</v>
      </c>
    </row>
    <row r="42" spans="1:49">
      <c r="A42" s="15">
        <f t="shared" si="3"/>
        <v>15</v>
      </c>
      <c r="B42" s="16" t="s">
        <v>123</v>
      </c>
      <c r="C42" s="10">
        <v>46082</v>
      </c>
      <c r="D42" s="7" t="s">
        <v>57</v>
      </c>
      <c r="E42" s="7" t="s">
        <v>98</v>
      </c>
      <c r="F42" s="7">
        <v>110000</v>
      </c>
      <c r="G42" s="7" t="s">
        <v>131</v>
      </c>
      <c r="H42" s="7">
        <v>554</v>
      </c>
      <c r="I42" s="7" t="s">
        <v>197</v>
      </c>
      <c r="J42" s="7" t="s">
        <v>455</v>
      </c>
      <c r="K42" s="7" t="s">
        <v>198</v>
      </c>
      <c r="L42" s="7"/>
      <c r="M42" s="7" t="s">
        <v>199</v>
      </c>
      <c r="N42" s="7" t="s">
        <v>47</v>
      </c>
      <c r="O42" s="8">
        <v>7575000</v>
      </c>
      <c r="P42" s="8">
        <v>0</v>
      </c>
      <c r="Q42" s="8">
        <v>2525000</v>
      </c>
      <c r="R42" s="8">
        <v>0</v>
      </c>
      <c r="S42" s="8">
        <v>10100000</v>
      </c>
      <c r="T42" s="8">
        <v>1096590</v>
      </c>
      <c r="U42" s="8">
        <v>0</v>
      </c>
      <c r="V42" s="8">
        <v>0</v>
      </c>
      <c r="W42" s="8">
        <v>100000</v>
      </c>
      <c r="X42" s="8">
        <v>0</v>
      </c>
      <c r="Y42" s="8">
        <v>0</v>
      </c>
      <c r="Z42" s="8">
        <v>348525</v>
      </c>
      <c r="AA42" s="8">
        <v>524190</v>
      </c>
      <c r="AB42" s="8">
        <v>0</v>
      </c>
      <c r="AC42" s="8">
        <v>0</v>
      </c>
      <c r="AD42" s="8">
        <v>0</v>
      </c>
      <c r="AE42" s="8">
        <v>0</v>
      </c>
      <c r="AF42" s="8">
        <v>12169305</v>
      </c>
      <c r="AG42" s="8">
        <v>202000</v>
      </c>
      <c r="AH42" s="8">
        <v>101000</v>
      </c>
      <c r="AI42" s="8">
        <v>101000</v>
      </c>
      <c r="AJ42" s="8">
        <v>0</v>
      </c>
      <c r="AK42" s="8">
        <v>365079</v>
      </c>
      <c r="AL42" s="8">
        <v>0</v>
      </c>
      <c r="AM42" s="8">
        <v>524190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1293269</v>
      </c>
      <c r="AV42" s="8">
        <v>0</v>
      </c>
      <c r="AW42" s="8">
        <v>10876036</v>
      </c>
    </row>
    <row r="43" spans="1:49">
      <c r="A43" s="15">
        <f t="shared" si="3"/>
        <v>16</v>
      </c>
      <c r="B43" s="16" t="s">
        <v>123</v>
      </c>
      <c r="C43" s="10">
        <v>46082</v>
      </c>
      <c r="D43" s="7" t="s">
        <v>57</v>
      </c>
      <c r="E43" s="7" t="s">
        <v>98</v>
      </c>
      <c r="F43" s="7">
        <v>110000</v>
      </c>
      <c r="G43" s="7" t="s">
        <v>131</v>
      </c>
      <c r="H43" s="7">
        <v>720</v>
      </c>
      <c r="I43" s="7" t="s">
        <v>200</v>
      </c>
      <c r="J43" s="7" t="s">
        <v>455</v>
      </c>
      <c r="K43" s="7" t="s">
        <v>201</v>
      </c>
      <c r="L43" s="7"/>
      <c r="M43" s="7" t="s">
        <v>202</v>
      </c>
      <c r="N43" s="7" t="s">
        <v>47</v>
      </c>
      <c r="O43" s="8">
        <v>5898301</v>
      </c>
      <c r="P43" s="8">
        <v>0</v>
      </c>
      <c r="Q43" s="8">
        <v>1514533</v>
      </c>
      <c r="R43" s="8">
        <v>0</v>
      </c>
      <c r="S43" s="8">
        <v>7412834</v>
      </c>
      <c r="T43" s="8">
        <v>1023484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325290</v>
      </c>
      <c r="AA43" s="8">
        <v>384726</v>
      </c>
      <c r="AB43" s="8">
        <v>0</v>
      </c>
      <c r="AC43" s="8">
        <v>0</v>
      </c>
      <c r="AD43" s="8">
        <v>0</v>
      </c>
      <c r="AE43" s="8">
        <v>0</v>
      </c>
      <c r="AF43" s="8">
        <v>9146334</v>
      </c>
      <c r="AG43" s="8">
        <v>148257</v>
      </c>
      <c r="AH43" s="8">
        <v>74128</v>
      </c>
      <c r="AI43" s="8">
        <v>74128</v>
      </c>
      <c r="AJ43" s="8">
        <v>0</v>
      </c>
      <c r="AK43" s="8">
        <v>91463</v>
      </c>
      <c r="AL43" s="8">
        <v>0</v>
      </c>
      <c r="AM43" s="8">
        <v>384726</v>
      </c>
      <c r="AN43" s="8">
        <v>0</v>
      </c>
      <c r="AO43" s="8">
        <v>0</v>
      </c>
      <c r="AP43" s="8">
        <v>35500</v>
      </c>
      <c r="AQ43" s="8">
        <v>0</v>
      </c>
      <c r="AR43" s="8">
        <v>-112000</v>
      </c>
      <c r="AS43" s="8">
        <v>0</v>
      </c>
      <c r="AT43" s="8">
        <v>0</v>
      </c>
      <c r="AU43" s="8">
        <v>696202</v>
      </c>
      <c r="AV43" s="8">
        <v>0</v>
      </c>
      <c r="AW43" s="8">
        <v>8450132</v>
      </c>
    </row>
    <row r="44" spans="1:49">
      <c r="A44" s="15">
        <f t="shared" si="3"/>
        <v>17</v>
      </c>
      <c r="B44" s="16" t="s">
        <v>123</v>
      </c>
      <c r="C44" s="10">
        <v>46082</v>
      </c>
      <c r="D44" s="7" t="s">
        <v>57</v>
      </c>
      <c r="E44" s="7" t="s">
        <v>98</v>
      </c>
      <c r="F44" s="7">
        <v>110000</v>
      </c>
      <c r="G44" s="7" t="s">
        <v>131</v>
      </c>
      <c r="H44" s="7">
        <v>720</v>
      </c>
      <c r="I44" s="7" t="s">
        <v>200</v>
      </c>
      <c r="J44" s="7" t="s">
        <v>455</v>
      </c>
      <c r="K44" s="7" t="s">
        <v>203</v>
      </c>
      <c r="L44" s="7"/>
      <c r="M44" s="7" t="s">
        <v>204</v>
      </c>
      <c r="N44" s="7" t="s">
        <v>67</v>
      </c>
      <c r="O44" s="8">
        <v>4297407</v>
      </c>
      <c r="P44" s="8">
        <v>0</v>
      </c>
      <c r="Q44" s="8">
        <v>1432469</v>
      </c>
      <c r="R44" s="8">
        <v>0</v>
      </c>
      <c r="S44" s="8">
        <v>5729876</v>
      </c>
      <c r="T44" s="8">
        <v>843540</v>
      </c>
      <c r="U44" s="8">
        <v>0</v>
      </c>
      <c r="V44" s="8">
        <v>0</v>
      </c>
      <c r="W44" s="8">
        <v>100000</v>
      </c>
      <c r="X44" s="8">
        <v>0</v>
      </c>
      <c r="Y44" s="8">
        <v>0</v>
      </c>
      <c r="Z44" s="8">
        <v>348525</v>
      </c>
      <c r="AA44" s="8">
        <v>297381</v>
      </c>
      <c r="AB44" s="8">
        <v>0</v>
      </c>
      <c r="AC44" s="8">
        <v>0</v>
      </c>
      <c r="AD44" s="8">
        <v>0</v>
      </c>
      <c r="AE44" s="8">
        <v>0</v>
      </c>
      <c r="AF44" s="8">
        <v>7319322</v>
      </c>
      <c r="AG44" s="8">
        <v>114598</v>
      </c>
      <c r="AH44" s="8">
        <v>57299</v>
      </c>
      <c r="AI44" s="8">
        <v>57299</v>
      </c>
      <c r="AJ44" s="8">
        <v>0</v>
      </c>
      <c r="AK44" s="8">
        <v>91492</v>
      </c>
      <c r="AL44" s="8">
        <v>0</v>
      </c>
      <c r="AM44" s="8">
        <v>297381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618069</v>
      </c>
      <c r="AV44" s="8">
        <v>0</v>
      </c>
      <c r="AW44" s="8">
        <v>6701253</v>
      </c>
    </row>
    <row r="45" spans="1:49">
      <c r="A45" s="15">
        <f t="shared" si="3"/>
        <v>18</v>
      </c>
      <c r="B45" s="16" t="s">
        <v>123</v>
      </c>
      <c r="C45" s="10">
        <v>46082</v>
      </c>
      <c r="D45" s="7" t="s">
        <v>57</v>
      </c>
      <c r="E45" s="7" t="s">
        <v>98</v>
      </c>
      <c r="F45" s="7">
        <v>110000</v>
      </c>
      <c r="G45" s="7" t="s">
        <v>131</v>
      </c>
      <c r="H45" s="7">
        <v>720</v>
      </c>
      <c r="I45" s="7" t="s">
        <v>200</v>
      </c>
      <c r="J45" s="7" t="s">
        <v>455</v>
      </c>
      <c r="K45" s="7" t="s">
        <v>205</v>
      </c>
      <c r="L45" s="7"/>
      <c r="M45" s="7" t="s">
        <v>206</v>
      </c>
      <c r="N45" s="7" t="s">
        <v>67</v>
      </c>
      <c r="O45" s="8">
        <v>5039906</v>
      </c>
      <c r="P45" s="8">
        <v>0</v>
      </c>
      <c r="Q45" s="8">
        <v>846635</v>
      </c>
      <c r="R45" s="8">
        <v>0</v>
      </c>
      <c r="S45" s="8">
        <v>5886541</v>
      </c>
      <c r="T45" s="8">
        <v>787304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325290</v>
      </c>
      <c r="AA45" s="8">
        <v>305512</v>
      </c>
      <c r="AB45" s="8">
        <v>0</v>
      </c>
      <c r="AC45" s="8">
        <v>0</v>
      </c>
      <c r="AD45" s="8">
        <v>0</v>
      </c>
      <c r="AE45" s="8">
        <v>0</v>
      </c>
      <c r="AF45" s="8">
        <v>7304647</v>
      </c>
      <c r="AG45" s="8">
        <v>117731</v>
      </c>
      <c r="AH45" s="8">
        <v>58865</v>
      </c>
      <c r="AI45" s="8">
        <v>58865</v>
      </c>
      <c r="AJ45" s="8">
        <v>0</v>
      </c>
      <c r="AK45" s="8">
        <v>91308</v>
      </c>
      <c r="AL45" s="8">
        <v>0</v>
      </c>
      <c r="AM45" s="8">
        <v>305512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632281</v>
      </c>
      <c r="AV45" s="8">
        <v>0</v>
      </c>
      <c r="AW45" s="8">
        <v>6672366</v>
      </c>
    </row>
    <row r="46" spans="1:49">
      <c r="A46" s="15">
        <f t="shared" si="3"/>
        <v>19</v>
      </c>
      <c r="B46" s="16" t="s">
        <v>123</v>
      </c>
      <c r="C46" s="10">
        <v>46082</v>
      </c>
      <c r="D46" s="7" t="s">
        <v>57</v>
      </c>
      <c r="E46" s="7" t="s">
        <v>98</v>
      </c>
      <c r="F46" s="7">
        <v>110000</v>
      </c>
      <c r="G46" s="7" t="s">
        <v>131</v>
      </c>
      <c r="H46" s="7">
        <v>720</v>
      </c>
      <c r="I46" s="7" t="s">
        <v>200</v>
      </c>
      <c r="J46" s="7" t="s">
        <v>455</v>
      </c>
      <c r="K46" s="7" t="s">
        <v>207</v>
      </c>
      <c r="L46" s="7"/>
      <c r="M46" s="7" t="s">
        <v>208</v>
      </c>
      <c r="N46" s="7" t="s">
        <v>67</v>
      </c>
      <c r="O46" s="8">
        <v>6562750</v>
      </c>
      <c r="P46" s="8">
        <v>0</v>
      </c>
      <c r="Q46" s="8">
        <v>1354250</v>
      </c>
      <c r="R46" s="8">
        <v>0</v>
      </c>
      <c r="S46" s="8">
        <v>7917000</v>
      </c>
      <c r="T46" s="8">
        <v>1096590</v>
      </c>
      <c r="U46" s="8">
        <v>0</v>
      </c>
      <c r="V46" s="8">
        <v>0</v>
      </c>
      <c r="W46" s="8">
        <v>100000</v>
      </c>
      <c r="X46" s="8">
        <v>0</v>
      </c>
      <c r="Y46" s="8">
        <v>0</v>
      </c>
      <c r="Z46" s="8">
        <v>348525</v>
      </c>
      <c r="AA46" s="8">
        <v>410892</v>
      </c>
      <c r="AB46" s="8">
        <v>0</v>
      </c>
      <c r="AC46" s="8">
        <v>0</v>
      </c>
      <c r="AD46" s="8">
        <v>0</v>
      </c>
      <c r="AE46" s="8">
        <v>0</v>
      </c>
      <c r="AF46" s="8">
        <v>9873007</v>
      </c>
      <c r="AG46" s="8">
        <v>158340</v>
      </c>
      <c r="AH46" s="8">
        <v>79170</v>
      </c>
      <c r="AI46" s="8">
        <v>79170</v>
      </c>
      <c r="AJ46" s="8">
        <v>0</v>
      </c>
      <c r="AK46" s="8">
        <v>197460</v>
      </c>
      <c r="AL46" s="8">
        <v>0</v>
      </c>
      <c r="AM46" s="8">
        <v>410892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925032</v>
      </c>
      <c r="AV46" s="8">
        <v>0</v>
      </c>
      <c r="AW46" s="8">
        <v>8947975</v>
      </c>
    </row>
    <row r="47" spans="1:49">
      <c r="A47" s="15">
        <f t="shared" si="3"/>
        <v>20</v>
      </c>
      <c r="B47" s="16" t="s">
        <v>123</v>
      </c>
      <c r="C47" s="10">
        <v>46082</v>
      </c>
      <c r="D47" s="7" t="s">
        <v>57</v>
      </c>
      <c r="E47" s="7" t="s">
        <v>98</v>
      </c>
      <c r="F47" s="7">
        <v>110000</v>
      </c>
      <c r="G47" s="7" t="s">
        <v>131</v>
      </c>
      <c r="H47" s="7">
        <v>827</v>
      </c>
      <c r="I47" s="7" t="s">
        <v>209</v>
      </c>
      <c r="J47" s="7" t="s">
        <v>455</v>
      </c>
      <c r="K47" s="7" t="s">
        <v>210</v>
      </c>
      <c r="L47" s="7"/>
      <c r="M47" s="7" t="s">
        <v>211</v>
      </c>
      <c r="N47" s="7" t="s">
        <v>67</v>
      </c>
      <c r="O47" s="8">
        <v>7125000</v>
      </c>
      <c r="P47" s="8">
        <v>0</v>
      </c>
      <c r="Q47" s="8">
        <v>2375000</v>
      </c>
      <c r="R47" s="8">
        <v>0</v>
      </c>
      <c r="S47" s="8">
        <v>9500000</v>
      </c>
      <c r="T47" s="8">
        <v>1169696</v>
      </c>
      <c r="U47" s="8">
        <v>0</v>
      </c>
      <c r="V47" s="8">
        <v>0</v>
      </c>
      <c r="W47" s="8">
        <v>200000</v>
      </c>
      <c r="X47" s="8">
        <v>0</v>
      </c>
      <c r="Y47" s="8">
        <v>0</v>
      </c>
      <c r="Z47" s="8">
        <v>371760</v>
      </c>
      <c r="AA47" s="8">
        <v>493050</v>
      </c>
      <c r="AB47" s="8">
        <v>0</v>
      </c>
      <c r="AC47" s="8">
        <v>0</v>
      </c>
      <c r="AD47" s="8">
        <v>0</v>
      </c>
      <c r="AE47" s="8">
        <v>0</v>
      </c>
      <c r="AF47" s="8">
        <v>11734506</v>
      </c>
      <c r="AG47" s="8">
        <v>190000</v>
      </c>
      <c r="AH47" s="8">
        <v>95000</v>
      </c>
      <c r="AI47" s="8">
        <v>95000</v>
      </c>
      <c r="AJ47" s="8">
        <v>0</v>
      </c>
      <c r="AK47" s="8">
        <v>352035</v>
      </c>
      <c r="AL47" s="8">
        <v>0</v>
      </c>
      <c r="AM47" s="8">
        <v>493050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1225085</v>
      </c>
      <c r="AV47" s="8">
        <v>0</v>
      </c>
      <c r="AW47" s="8">
        <v>10509421</v>
      </c>
    </row>
    <row r="48" spans="1:49">
      <c r="A48" s="15">
        <f t="shared" si="3"/>
        <v>21</v>
      </c>
      <c r="B48" s="16" t="s">
        <v>123</v>
      </c>
      <c r="C48" s="10">
        <v>46082</v>
      </c>
      <c r="D48" s="7" t="s">
        <v>57</v>
      </c>
      <c r="E48" s="7" t="s">
        <v>98</v>
      </c>
      <c r="F48" s="7">
        <v>120000</v>
      </c>
      <c r="G48" s="7" t="s">
        <v>212</v>
      </c>
      <c r="H48" s="7">
        <v>531</v>
      </c>
      <c r="I48" s="7" t="s">
        <v>213</v>
      </c>
      <c r="J48" s="7" t="s">
        <v>455</v>
      </c>
      <c r="K48" s="7" t="s">
        <v>214</v>
      </c>
      <c r="L48" s="7"/>
      <c r="M48" s="7" t="s">
        <v>215</v>
      </c>
      <c r="N48" s="7" t="s">
        <v>47</v>
      </c>
      <c r="O48" s="8">
        <v>9329882</v>
      </c>
      <c r="P48" s="8">
        <v>0</v>
      </c>
      <c r="Q48" s="8">
        <v>3084137</v>
      </c>
      <c r="R48" s="8">
        <v>0</v>
      </c>
      <c r="S48" s="8">
        <v>12414019</v>
      </c>
      <c r="T48" s="8">
        <v>1569764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325290</v>
      </c>
      <c r="AA48" s="8">
        <v>147727</v>
      </c>
      <c r="AB48" s="8">
        <v>0</v>
      </c>
      <c r="AC48" s="8">
        <v>0</v>
      </c>
      <c r="AD48" s="8">
        <v>0</v>
      </c>
      <c r="AE48" s="8">
        <v>0</v>
      </c>
      <c r="AF48" s="8">
        <v>14456800</v>
      </c>
      <c r="AG48" s="8">
        <v>248280</v>
      </c>
      <c r="AH48" s="8">
        <v>0</v>
      </c>
      <c r="AI48" s="8">
        <v>110863</v>
      </c>
      <c r="AJ48" s="8">
        <v>0</v>
      </c>
      <c r="AK48" s="8">
        <v>722840</v>
      </c>
      <c r="AL48" s="8">
        <v>0</v>
      </c>
      <c r="AM48" s="8">
        <v>147727</v>
      </c>
      <c r="AN48" s="8">
        <v>0</v>
      </c>
      <c r="AO48" s="8">
        <v>0</v>
      </c>
      <c r="AP48" s="8">
        <v>35500</v>
      </c>
      <c r="AQ48" s="8">
        <v>0</v>
      </c>
      <c r="AR48" s="8">
        <v>0</v>
      </c>
      <c r="AS48" s="8">
        <v>0</v>
      </c>
      <c r="AT48" s="8">
        <v>0</v>
      </c>
      <c r="AU48" s="8">
        <v>1265210</v>
      </c>
      <c r="AV48" s="8">
        <v>0</v>
      </c>
      <c r="AW48" s="8">
        <v>13191590</v>
      </c>
    </row>
    <row r="49" spans="1:49">
      <c r="A49" s="15">
        <f t="shared" si="3"/>
        <v>22</v>
      </c>
      <c r="B49" s="16" t="s">
        <v>123</v>
      </c>
      <c r="C49" s="10">
        <v>46082</v>
      </c>
      <c r="D49" s="7" t="s">
        <v>57</v>
      </c>
      <c r="E49" s="7" t="s">
        <v>98</v>
      </c>
      <c r="F49" s="7">
        <v>120000</v>
      </c>
      <c r="G49" s="7" t="s">
        <v>212</v>
      </c>
      <c r="H49" s="7">
        <v>851</v>
      </c>
      <c r="I49" s="7" t="s">
        <v>216</v>
      </c>
      <c r="J49" s="7" t="s">
        <v>455</v>
      </c>
      <c r="K49" s="7" t="s">
        <v>217</v>
      </c>
      <c r="L49" s="7"/>
      <c r="M49" s="7" t="s">
        <v>218</v>
      </c>
      <c r="N49" s="7" t="s">
        <v>67</v>
      </c>
      <c r="O49" s="8">
        <v>5146875</v>
      </c>
      <c r="P49" s="8">
        <v>0</v>
      </c>
      <c r="Q49" s="8">
        <v>1715625</v>
      </c>
      <c r="R49" s="8">
        <v>0</v>
      </c>
      <c r="S49" s="8">
        <v>6862500</v>
      </c>
      <c r="T49" s="8">
        <v>656082</v>
      </c>
      <c r="U49" s="8">
        <v>0</v>
      </c>
      <c r="V49" s="8">
        <v>126000</v>
      </c>
      <c r="W49" s="8">
        <v>0</v>
      </c>
      <c r="X49" s="8">
        <v>0</v>
      </c>
      <c r="Y49" s="8">
        <v>0</v>
      </c>
      <c r="Z49" s="8">
        <v>0</v>
      </c>
      <c r="AA49" s="8">
        <v>356164</v>
      </c>
      <c r="AB49" s="8">
        <v>0</v>
      </c>
      <c r="AC49" s="8">
        <v>0</v>
      </c>
      <c r="AD49" s="8">
        <v>0</v>
      </c>
      <c r="AE49" s="8">
        <v>0</v>
      </c>
      <c r="AF49" s="8">
        <v>8000746</v>
      </c>
      <c r="AG49" s="8">
        <v>137250</v>
      </c>
      <c r="AH49" s="8">
        <v>68625</v>
      </c>
      <c r="AI49" s="8">
        <v>68625</v>
      </c>
      <c r="AJ49" s="8">
        <v>0</v>
      </c>
      <c r="AK49" s="8">
        <v>80007</v>
      </c>
      <c r="AL49" s="8">
        <v>0</v>
      </c>
      <c r="AM49" s="8">
        <v>356164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710671</v>
      </c>
      <c r="AV49" s="8">
        <v>0</v>
      </c>
      <c r="AW49" s="8">
        <v>7290075</v>
      </c>
    </row>
    <row r="50" spans="1:49">
      <c r="A50" s="15">
        <f t="shared" si="3"/>
        <v>23</v>
      </c>
      <c r="B50" s="16" t="s">
        <v>123</v>
      </c>
      <c r="C50" s="10">
        <v>46082</v>
      </c>
      <c r="D50" s="7" t="s">
        <v>57</v>
      </c>
      <c r="E50" s="7" t="s">
        <v>98</v>
      </c>
      <c r="F50" s="7">
        <v>140000</v>
      </c>
      <c r="G50" s="7" t="s">
        <v>100</v>
      </c>
      <c r="H50" s="7">
        <v>431</v>
      </c>
      <c r="I50" s="7" t="s">
        <v>219</v>
      </c>
      <c r="J50" s="7" t="s">
        <v>455</v>
      </c>
      <c r="K50" s="7" t="s">
        <v>220</v>
      </c>
      <c r="L50" s="7"/>
      <c r="M50" s="7" t="s">
        <v>221</v>
      </c>
      <c r="N50" s="7" t="s">
        <v>67</v>
      </c>
      <c r="O50" s="8">
        <v>5276250</v>
      </c>
      <c r="P50" s="8">
        <v>0</v>
      </c>
      <c r="Q50" s="8">
        <v>1758750</v>
      </c>
      <c r="R50" s="8">
        <v>0</v>
      </c>
      <c r="S50" s="8">
        <v>7035000</v>
      </c>
      <c r="T50" s="8">
        <v>843540</v>
      </c>
      <c r="U50" s="8">
        <v>0</v>
      </c>
      <c r="V50" s="8">
        <v>0</v>
      </c>
      <c r="W50" s="8">
        <v>100000</v>
      </c>
      <c r="X50" s="8">
        <v>0</v>
      </c>
      <c r="Y50" s="8">
        <v>0</v>
      </c>
      <c r="Z50" s="8">
        <v>348525</v>
      </c>
      <c r="AA50" s="8">
        <v>365117</v>
      </c>
      <c r="AB50" s="8">
        <v>0</v>
      </c>
      <c r="AC50" s="8">
        <v>0</v>
      </c>
      <c r="AD50" s="8">
        <v>0</v>
      </c>
      <c r="AE50" s="8">
        <v>0</v>
      </c>
      <c r="AF50" s="8">
        <v>8692182</v>
      </c>
      <c r="AG50" s="8">
        <v>140700</v>
      </c>
      <c r="AH50" s="8">
        <v>70350</v>
      </c>
      <c r="AI50" s="8">
        <v>70350</v>
      </c>
      <c r="AJ50" s="8">
        <v>0</v>
      </c>
      <c r="AK50" s="8">
        <v>152113</v>
      </c>
      <c r="AL50" s="8">
        <v>0</v>
      </c>
      <c r="AM50" s="8">
        <v>365117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798630</v>
      </c>
      <c r="AV50" s="8">
        <v>0</v>
      </c>
      <c r="AW50" s="8">
        <v>7893552</v>
      </c>
    </row>
    <row r="51" spans="1:49">
      <c r="A51" s="15">
        <f t="shared" si="3"/>
        <v>24</v>
      </c>
      <c r="B51" s="16" t="s">
        <v>123</v>
      </c>
      <c r="C51" s="10">
        <v>46082</v>
      </c>
      <c r="D51" s="7" t="s">
        <v>57</v>
      </c>
      <c r="E51" s="7" t="s">
        <v>98</v>
      </c>
      <c r="F51" s="7">
        <v>140000</v>
      </c>
      <c r="G51" s="7" t="s">
        <v>100</v>
      </c>
      <c r="H51" s="7">
        <v>440</v>
      </c>
      <c r="I51" s="7" t="s">
        <v>105</v>
      </c>
      <c r="J51" s="7" t="s">
        <v>455</v>
      </c>
      <c r="K51" s="7" t="s">
        <v>222</v>
      </c>
      <c r="L51" s="7"/>
      <c r="M51" s="7" t="s">
        <v>223</v>
      </c>
      <c r="N51" s="7" t="s">
        <v>47</v>
      </c>
      <c r="O51" s="8">
        <v>10045649</v>
      </c>
      <c r="P51" s="8">
        <v>0</v>
      </c>
      <c r="Q51" s="8">
        <v>3135741</v>
      </c>
      <c r="R51" s="8">
        <v>0</v>
      </c>
      <c r="S51" s="8">
        <v>13181390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394995</v>
      </c>
      <c r="AA51" s="8">
        <v>156858</v>
      </c>
      <c r="AB51" s="8">
        <v>0</v>
      </c>
      <c r="AC51" s="8">
        <v>0</v>
      </c>
      <c r="AD51" s="8">
        <v>0</v>
      </c>
      <c r="AE51" s="8">
        <v>0</v>
      </c>
      <c r="AF51" s="8">
        <v>13733243</v>
      </c>
      <c r="AG51" s="8">
        <v>263628</v>
      </c>
      <c r="AH51" s="8">
        <v>0</v>
      </c>
      <c r="AI51" s="8">
        <v>110863</v>
      </c>
      <c r="AJ51" s="8">
        <v>0</v>
      </c>
      <c r="AK51" s="8">
        <v>686662</v>
      </c>
      <c r="AL51" s="8">
        <v>0</v>
      </c>
      <c r="AM51" s="8">
        <v>156858</v>
      </c>
      <c r="AN51" s="8">
        <v>0</v>
      </c>
      <c r="AO51" s="8">
        <v>0</v>
      </c>
      <c r="AP51" s="8">
        <v>35500</v>
      </c>
      <c r="AQ51" s="8">
        <v>0</v>
      </c>
      <c r="AR51" s="8">
        <v>0</v>
      </c>
      <c r="AS51" s="8">
        <v>100000</v>
      </c>
      <c r="AT51" s="8">
        <v>0</v>
      </c>
      <c r="AU51" s="8">
        <v>1353511</v>
      </c>
      <c r="AV51" s="8">
        <v>0</v>
      </c>
      <c r="AW51" s="8">
        <v>12379732</v>
      </c>
    </row>
    <row r="52" spans="1:49">
      <c r="A52" s="15">
        <f t="shared" si="3"/>
        <v>25</v>
      </c>
      <c r="B52" s="16" t="s">
        <v>123</v>
      </c>
      <c r="C52" s="10">
        <v>46082</v>
      </c>
      <c r="D52" s="7" t="s">
        <v>57</v>
      </c>
      <c r="E52" s="7" t="s">
        <v>98</v>
      </c>
      <c r="F52" s="7">
        <v>140000</v>
      </c>
      <c r="G52" s="7" t="s">
        <v>100</v>
      </c>
      <c r="H52" s="7">
        <v>721</v>
      </c>
      <c r="I52" s="7" t="s">
        <v>112</v>
      </c>
      <c r="J52" s="7" t="s">
        <v>455</v>
      </c>
      <c r="K52" s="7" t="s">
        <v>224</v>
      </c>
      <c r="L52" s="7"/>
      <c r="M52" s="7" t="s">
        <v>225</v>
      </c>
      <c r="N52" s="7" t="s">
        <v>47</v>
      </c>
      <c r="O52" s="8">
        <v>5194934</v>
      </c>
      <c r="P52" s="8">
        <v>0</v>
      </c>
      <c r="Q52" s="8">
        <v>1194541</v>
      </c>
      <c r="R52" s="8">
        <v>300000</v>
      </c>
      <c r="S52" s="8">
        <v>6689475</v>
      </c>
      <c r="T52" s="8">
        <v>954408</v>
      </c>
      <c r="U52" s="8">
        <v>0</v>
      </c>
      <c r="V52" s="8">
        <v>0</v>
      </c>
      <c r="W52" s="8">
        <v>200000</v>
      </c>
      <c r="X52" s="8">
        <v>0</v>
      </c>
      <c r="Y52" s="8">
        <v>0</v>
      </c>
      <c r="Z52" s="8">
        <v>371760</v>
      </c>
      <c r="AA52" s="8">
        <v>347183</v>
      </c>
      <c r="AB52" s="8">
        <v>0</v>
      </c>
      <c r="AC52" s="8">
        <v>0</v>
      </c>
      <c r="AD52" s="8">
        <v>0</v>
      </c>
      <c r="AE52" s="8">
        <v>0</v>
      </c>
      <c r="AF52" s="8">
        <v>8562826</v>
      </c>
      <c r="AG52" s="8">
        <v>133790</v>
      </c>
      <c r="AH52" s="8">
        <v>66895</v>
      </c>
      <c r="AI52" s="8">
        <v>66895</v>
      </c>
      <c r="AJ52" s="8">
        <v>0</v>
      </c>
      <c r="AK52" s="8">
        <v>85628</v>
      </c>
      <c r="AL52" s="8">
        <v>0</v>
      </c>
      <c r="AM52" s="8">
        <v>347183</v>
      </c>
      <c r="AN52" s="8">
        <v>0</v>
      </c>
      <c r="AO52" s="8">
        <v>0</v>
      </c>
      <c r="AP52" s="8">
        <v>35500</v>
      </c>
      <c r="AQ52" s="8">
        <v>0</v>
      </c>
      <c r="AR52" s="8">
        <v>0</v>
      </c>
      <c r="AS52" s="8">
        <v>0</v>
      </c>
      <c r="AT52" s="8">
        <v>0</v>
      </c>
      <c r="AU52" s="8">
        <v>735891</v>
      </c>
      <c r="AV52" s="8">
        <v>0</v>
      </c>
      <c r="AW52" s="8">
        <v>7826935</v>
      </c>
    </row>
    <row r="53" spans="1:49">
      <c r="A53" s="15">
        <f t="shared" si="3"/>
        <v>26</v>
      </c>
      <c r="B53" s="16" t="s">
        <v>123</v>
      </c>
      <c r="C53" s="10">
        <v>46082</v>
      </c>
      <c r="D53" s="7" t="s">
        <v>57</v>
      </c>
      <c r="E53" s="7" t="s">
        <v>98</v>
      </c>
      <c r="F53" s="7">
        <v>150000</v>
      </c>
      <c r="G53" s="7" t="s">
        <v>142</v>
      </c>
      <c r="H53" s="7">
        <v>547</v>
      </c>
      <c r="I53" s="7" t="s">
        <v>226</v>
      </c>
      <c r="J53" s="7" t="s">
        <v>455</v>
      </c>
      <c r="K53" s="7" t="s">
        <v>227</v>
      </c>
      <c r="L53" s="7"/>
      <c r="M53" s="7" t="s">
        <v>228</v>
      </c>
      <c r="N53" s="7" t="s">
        <v>67</v>
      </c>
      <c r="O53" s="8">
        <v>8625000</v>
      </c>
      <c r="P53" s="8">
        <v>0</v>
      </c>
      <c r="Q53" s="8">
        <v>2875000</v>
      </c>
      <c r="R53" s="8">
        <v>0</v>
      </c>
      <c r="S53" s="8">
        <v>11500000</v>
      </c>
      <c r="T53" s="8">
        <v>1569764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325290</v>
      </c>
      <c r="AA53" s="8">
        <v>136850</v>
      </c>
      <c r="AB53" s="8">
        <v>0</v>
      </c>
      <c r="AC53" s="8">
        <v>0</v>
      </c>
      <c r="AD53" s="8">
        <v>0</v>
      </c>
      <c r="AE53" s="8">
        <v>0</v>
      </c>
      <c r="AF53" s="8">
        <v>13531904</v>
      </c>
      <c r="AG53" s="8">
        <v>230000</v>
      </c>
      <c r="AH53" s="8">
        <v>0</v>
      </c>
      <c r="AI53" s="8">
        <v>110863</v>
      </c>
      <c r="AJ53" s="8">
        <v>0</v>
      </c>
      <c r="AK53" s="8">
        <v>676595</v>
      </c>
      <c r="AL53" s="8">
        <v>0</v>
      </c>
      <c r="AM53" s="8">
        <v>136850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1154308</v>
      </c>
      <c r="AV53" s="8">
        <v>0</v>
      </c>
      <c r="AW53" s="8">
        <v>12377596</v>
      </c>
    </row>
    <row r="54" spans="1:49">
      <c r="A54" s="15">
        <f t="shared" si="3"/>
        <v>27</v>
      </c>
      <c r="B54" s="16" t="s">
        <v>123</v>
      </c>
      <c r="C54" s="10">
        <v>46082</v>
      </c>
      <c r="D54" s="7" t="s">
        <v>57</v>
      </c>
      <c r="E54" s="7" t="s">
        <v>98</v>
      </c>
      <c r="F54" s="7">
        <v>150000</v>
      </c>
      <c r="G54" s="7" t="s">
        <v>142</v>
      </c>
      <c r="H54" s="7">
        <v>640</v>
      </c>
      <c r="I54" s="7" t="s">
        <v>229</v>
      </c>
      <c r="J54" s="7" t="s">
        <v>455</v>
      </c>
      <c r="K54" s="7" t="s">
        <v>230</v>
      </c>
      <c r="L54" s="7"/>
      <c r="M54" s="7" t="s">
        <v>231</v>
      </c>
      <c r="N54" s="7" t="s">
        <v>47</v>
      </c>
      <c r="O54" s="8">
        <v>7037055</v>
      </c>
      <c r="P54" s="8">
        <v>0</v>
      </c>
      <c r="Q54" s="8">
        <v>1326648</v>
      </c>
      <c r="R54" s="8">
        <v>0</v>
      </c>
      <c r="S54" s="8">
        <v>8363703</v>
      </c>
      <c r="T54" s="8">
        <v>1023484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325290</v>
      </c>
      <c r="AA54" s="8">
        <v>434076</v>
      </c>
      <c r="AB54" s="8">
        <v>0</v>
      </c>
      <c r="AC54" s="8">
        <v>0</v>
      </c>
      <c r="AD54" s="8">
        <v>0</v>
      </c>
      <c r="AE54" s="8">
        <v>0</v>
      </c>
      <c r="AF54" s="8">
        <v>10146553</v>
      </c>
      <c r="AG54" s="8">
        <v>167274</v>
      </c>
      <c r="AH54" s="8">
        <v>83637</v>
      </c>
      <c r="AI54" s="8">
        <v>83637</v>
      </c>
      <c r="AJ54" s="8">
        <v>0</v>
      </c>
      <c r="AK54" s="8">
        <v>152198</v>
      </c>
      <c r="AL54" s="8">
        <v>0</v>
      </c>
      <c r="AM54" s="8">
        <v>434076</v>
      </c>
      <c r="AN54" s="8">
        <v>0</v>
      </c>
      <c r="AO54" s="8">
        <v>0</v>
      </c>
      <c r="AP54" s="8">
        <v>35500</v>
      </c>
      <c r="AQ54" s="8">
        <v>0</v>
      </c>
      <c r="AR54" s="8">
        <v>-98000</v>
      </c>
      <c r="AS54" s="8">
        <v>1352339</v>
      </c>
      <c r="AT54" s="8">
        <v>0</v>
      </c>
      <c r="AU54" s="8">
        <v>2210661</v>
      </c>
      <c r="AV54" s="8">
        <v>0</v>
      </c>
      <c r="AW54" s="8">
        <v>7935892</v>
      </c>
    </row>
    <row r="55" spans="1:49">
      <c r="A55" s="15">
        <f t="shared" si="3"/>
        <v>28</v>
      </c>
      <c r="B55" s="16" t="s">
        <v>123</v>
      </c>
      <c r="C55" s="10">
        <v>46082</v>
      </c>
      <c r="D55" s="7" t="s">
        <v>57</v>
      </c>
      <c r="E55" s="7" t="s">
        <v>98</v>
      </c>
      <c r="F55" s="7">
        <v>150000</v>
      </c>
      <c r="G55" s="7" t="s">
        <v>142</v>
      </c>
      <c r="H55" s="7">
        <v>824</v>
      </c>
      <c r="I55" s="7" t="s">
        <v>232</v>
      </c>
      <c r="J55" s="7" t="s">
        <v>455</v>
      </c>
      <c r="K55" s="7" t="s">
        <v>233</v>
      </c>
      <c r="L55" s="7"/>
      <c r="M55" s="7" t="s">
        <v>234</v>
      </c>
      <c r="N55" s="7" t="s">
        <v>67</v>
      </c>
      <c r="O55" s="8">
        <v>4415140</v>
      </c>
      <c r="P55" s="8">
        <v>0</v>
      </c>
      <c r="Q55" s="8">
        <v>1471713</v>
      </c>
      <c r="R55" s="8">
        <v>0</v>
      </c>
      <c r="S55" s="8">
        <v>5886853</v>
      </c>
      <c r="T55" s="8">
        <v>655200</v>
      </c>
      <c r="U55" s="8">
        <v>0</v>
      </c>
      <c r="V55" s="8">
        <v>0</v>
      </c>
      <c r="W55" s="8">
        <v>0</v>
      </c>
      <c r="X55" s="8">
        <v>320000</v>
      </c>
      <c r="Y55" s="8">
        <v>0</v>
      </c>
      <c r="Z55" s="8">
        <v>325290</v>
      </c>
      <c r="AA55" s="8">
        <v>305528</v>
      </c>
      <c r="AB55" s="8">
        <v>0</v>
      </c>
      <c r="AC55" s="8">
        <v>0</v>
      </c>
      <c r="AD55" s="8">
        <v>0</v>
      </c>
      <c r="AE55" s="8">
        <v>0</v>
      </c>
      <c r="AF55" s="8">
        <v>7492871</v>
      </c>
      <c r="AG55" s="8">
        <v>117737</v>
      </c>
      <c r="AH55" s="8">
        <v>58869</v>
      </c>
      <c r="AI55" s="8">
        <v>58869</v>
      </c>
      <c r="AJ55" s="8">
        <v>0</v>
      </c>
      <c r="AK55" s="8">
        <v>93661</v>
      </c>
      <c r="AL55" s="8">
        <v>0</v>
      </c>
      <c r="AM55" s="8">
        <v>305528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634664</v>
      </c>
      <c r="AV55" s="8">
        <v>0</v>
      </c>
      <c r="AW55" s="8">
        <v>6858207</v>
      </c>
    </row>
    <row r="56" spans="1:49">
      <c r="A56" s="15">
        <f t="shared" si="3"/>
        <v>29</v>
      </c>
      <c r="B56" s="16" t="s">
        <v>123</v>
      </c>
      <c r="C56" s="10">
        <v>46082</v>
      </c>
      <c r="D56" s="7" t="s">
        <v>57</v>
      </c>
      <c r="E56" s="7" t="s">
        <v>98</v>
      </c>
      <c r="F56" s="7">
        <v>160000</v>
      </c>
      <c r="G56" s="7" t="s">
        <v>235</v>
      </c>
      <c r="H56" s="7">
        <v>530</v>
      </c>
      <c r="I56" s="7" t="s">
        <v>236</v>
      </c>
      <c r="J56" s="7" t="s">
        <v>455</v>
      </c>
      <c r="K56" s="7" t="s">
        <v>237</v>
      </c>
      <c r="L56" s="7"/>
      <c r="M56" s="7" t="s">
        <v>238</v>
      </c>
      <c r="N56" s="7" t="s">
        <v>47</v>
      </c>
      <c r="O56" s="8">
        <v>11602789</v>
      </c>
      <c r="P56" s="8">
        <v>0</v>
      </c>
      <c r="Q56" s="8">
        <v>3621041</v>
      </c>
      <c r="R56" s="8">
        <v>0</v>
      </c>
      <c r="S56" s="8">
        <v>15223830</v>
      </c>
      <c r="T56" s="8">
        <v>1023484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325290</v>
      </c>
      <c r="AA56" s="8">
        <v>181163</v>
      </c>
      <c r="AB56" s="8">
        <v>0</v>
      </c>
      <c r="AC56" s="8">
        <v>0</v>
      </c>
      <c r="AD56" s="8">
        <v>0</v>
      </c>
      <c r="AE56" s="8">
        <v>0</v>
      </c>
      <c r="AF56" s="8">
        <v>16753767</v>
      </c>
      <c r="AG56" s="8">
        <v>304477</v>
      </c>
      <c r="AH56" s="8">
        <v>0</v>
      </c>
      <c r="AI56" s="8">
        <v>110863</v>
      </c>
      <c r="AJ56" s="8">
        <v>0</v>
      </c>
      <c r="AK56" s="8">
        <v>1172764</v>
      </c>
      <c r="AL56" s="8">
        <v>0</v>
      </c>
      <c r="AM56" s="8">
        <v>181163</v>
      </c>
      <c r="AN56" s="8">
        <v>0</v>
      </c>
      <c r="AO56" s="8">
        <v>0</v>
      </c>
      <c r="AP56" s="8">
        <v>35500</v>
      </c>
      <c r="AQ56" s="8">
        <v>0</v>
      </c>
      <c r="AR56" s="8">
        <v>-70000</v>
      </c>
      <c r="AS56" s="8">
        <v>100000</v>
      </c>
      <c r="AT56" s="8">
        <v>0</v>
      </c>
      <c r="AU56" s="8">
        <v>1834767</v>
      </c>
      <c r="AV56" s="8">
        <v>0</v>
      </c>
      <c r="AW56" s="8">
        <v>14919000</v>
      </c>
    </row>
    <row r="57" spans="1:49">
      <c r="A57" s="15">
        <f t="shared" si="3"/>
        <v>30</v>
      </c>
      <c r="B57" s="16" t="s">
        <v>123</v>
      </c>
      <c r="C57" s="10">
        <v>46082</v>
      </c>
      <c r="D57" s="7" t="s">
        <v>57</v>
      </c>
      <c r="E57" s="7" t="s">
        <v>98</v>
      </c>
      <c r="F57" s="7">
        <v>160000</v>
      </c>
      <c r="G57" s="7" t="s">
        <v>235</v>
      </c>
      <c r="H57" s="7">
        <v>719</v>
      </c>
      <c r="I57" s="7" t="s">
        <v>239</v>
      </c>
      <c r="J57" s="7" t="s">
        <v>455</v>
      </c>
      <c r="K57" s="7" t="s">
        <v>240</v>
      </c>
      <c r="L57" s="7"/>
      <c r="M57" s="7" t="s">
        <v>241</v>
      </c>
      <c r="N57" s="7" t="s">
        <v>47</v>
      </c>
      <c r="O57" s="8">
        <v>6323160</v>
      </c>
      <c r="P57" s="8">
        <v>0</v>
      </c>
      <c r="Q57" s="8">
        <v>1522234</v>
      </c>
      <c r="R57" s="8">
        <v>0</v>
      </c>
      <c r="S57" s="8">
        <v>7845394</v>
      </c>
      <c r="T57" s="8">
        <v>1023484</v>
      </c>
      <c r="U57" s="8">
        <v>0</v>
      </c>
      <c r="V57" s="8">
        <v>0</v>
      </c>
      <c r="W57" s="8">
        <v>0</v>
      </c>
      <c r="X57" s="8">
        <v>480000</v>
      </c>
      <c r="Y57" s="8">
        <v>0</v>
      </c>
      <c r="Z57" s="8">
        <v>325290</v>
      </c>
      <c r="AA57" s="8">
        <v>407176</v>
      </c>
      <c r="AB57" s="8">
        <v>0</v>
      </c>
      <c r="AC57" s="8">
        <v>0</v>
      </c>
      <c r="AD57" s="8">
        <v>0</v>
      </c>
      <c r="AE57" s="8">
        <v>0</v>
      </c>
      <c r="AF57" s="8">
        <v>10081344</v>
      </c>
      <c r="AG57" s="8">
        <v>156908</v>
      </c>
      <c r="AH57" s="8">
        <v>78454</v>
      </c>
      <c r="AI57" s="8">
        <v>78454</v>
      </c>
      <c r="AJ57" s="8">
        <v>0</v>
      </c>
      <c r="AK57" s="8">
        <v>151220</v>
      </c>
      <c r="AL57" s="8">
        <v>0</v>
      </c>
      <c r="AM57" s="8">
        <v>407176</v>
      </c>
      <c r="AN57" s="8">
        <v>0</v>
      </c>
      <c r="AO57" s="8">
        <v>0</v>
      </c>
      <c r="AP57" s="8">
        <v>35500</v>
      </c>
      <c r="AQ57" s="8">
        <v>0</v>
      </c>
      <c r="AR57" s="8">
        <v>0</v>
      </c>
      <c r="AS57" s="8">
        <v>975000</v>
      </c>
      <c r="AT57" s="8">
        <v>0</v>
      </c>
      <c r="AU57" s="8">
        <v>1882712</v>
      </c>
      <c r="AV57" s="8">
        <v>0</v>
      </c>
      <c r="AW57" s="8">
        <v>8198632</v>
      </c>
    </row>
    <row r="58" spans="1:49">
      <c r="A58" s="15">
        <f t="shared" si="3"/>
        <v>31</v>
      </c>
      <c r="B58" s="16" t="s">
        <v>123</v>
      </c>
      <c r="C58" s="10">
        <v>46082</v>
      </c>
      <c r="D58" s="7" t="s">
        <v>57</v>
      </c>
      <c r="E58" s="7" t="s">
        <v>98</v>
      </c>
      <c r="F58" s="7">
        <v>160000</v>
      </c>
      <c r="G58" s="7" t="s">
        <v>235</v>
      </c>
      <c r="H58" s="7">
        <v>719</v>
      </c>
      <c r="I58" s="7" t="s">
        <v>239</v>
      </c>
      <c r="J58" s="7" t="s">
        <v>455</v>
      </c>
      <c r="K58" s="7" t="s">
        <v>242</v>
      </c>
      <c r="L58" s="7"/>
      <c r="M58" s="7" t="s">
        <v>243</v>
      </c>
      <c r="N58" s="7" t="s">
        <v>67</v>
      </c>
      <c r="O58" s="8">
        <v>5625000</v>
      </c>
      <c r="P58" s="8">
        <v>0</v>
      </c>
      <c r="Q58" s="8">
        <v>1875000</v>
      </c>
      <c r="R58" s="8">
        <v>0</v>
      </c>
      <c r="S58" s="8">
        <v>7500000</v>
      </c>
      <c r="T58" s="8">
        <v>618596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255585</v>
      </c>
      <c r="AA58" s="8">
        <v>389250</v>
      </c>
      <c r="AB58" s="8">
        <v>0</v>
      </c>
      <c r="AC58" s="8">
        <v>-357143</v>
      </c>
      <c r="AD58" s="8">
        <v>0</v>
      </c>
      <c r="AE58" s="8">
        <v>0</v>
      </c>
      <c r="AF58" s="8">
        <v>8406288</v>
      </c>
      <c r="AG58" s="8">
        <v>150000</v>
      </c>
      <c r="AH58" s="8">
        <v>75000</v>
      </c>
      <c r="AI58" s="8">
        <v>75000</v>
      </c>
      <c r="AJ58" s="8">
        <v>0</v>
      </c>
      <c r="AK58" s="8">
        <v>84063</v>
      </c>
      <c r="AL58" s="8">
        <v>0</v>
      </c>
      <c r="AM58" s="8">
        <v>389250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773313</v>
      </c>
      <c r="AV58" s="8">
        <v>0</v>
      </c>
      <c r="AW58" s="8">
        <v>7632975</v>
      </c>
    </row>
    <row r="59" spans="1:49">
      <c r="A59" s="15">
        <f t="shared" si="3"/>
        <v>32</v>
      </c>
      <c r="B59" s="16" t="s">
        <v>123</v>
      </c>
      <c r="C59" s="10">
        <v>46082</v>
      </c>
      <c r="D59" s="7" t="s">
        <v>57</v>
      </c>
      <c r="E59" s="7" t="s">
        <v>98</v>
      </c>
      <c r="F59" s="7">
        <v>160000</v>
      </c>
      <c r="G59" s="7" t="s">
        <v>235</v>
      </c>
      <c r="H59" s="7">
        <v>719</v>
      </c>
      <c r="I59" s="7" t="s">
        <v>239</v>
      </c>
      <c r="J59" s="7" t="s">
        <v>455</v>
      </c>
      <c r="K59" s="7" t="s">
        <v>244</v>
      </c>
      <c r="L59" s="7"/>
      <c r="M59" s="7" t="s">
        <v>245</v>
      </c>
      <c r="N59" s="7" t="s">
        <v>67</v>
      </c>
      <c r="O59" s="8">
        <v>5171400</v>
      </c>
      <c r="P59" s="8">
        <v>0</v>
      </c>
      <c r="Q59" s="8">
        <v>1723800</v>
      </c>
      <c r="R59" s="8">
        <v>0</v>
      </c>
      <c r="S59" s="8">
        <v>6895200</v>
      </c>
      <c r="T59" s="8">
        <v>787304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325290</v>
      </c>
      <c r="AA59" s="8">
        <v>357861</v>
      </c>
      <c r="AB59" s="8">
        <v>0</v>
      </c>
      <c r="AC59" s="8">
        <v>0</v>
      </c>
      <c r="AD59" s="8">
        <v>0</v>
      </c>
      <c r="AE59" s="8">
        <v>0</v>
      </c>
      <c r="AF59" s="8">
        <v>8365655</v>
      </c>
      <c r="AG59" s="8">
        <v>137904</v>
      </c>
      <c r="AH59" s="8">
        <v>68952</v>
      </c>
      <c r="AI59" s="8">
        <v>68952</v>
      </c>
      <c r="AJ59" s="8">
        <v>0</v>
      </c>
      <c r="AK59" s="8">
        <v>83657</v>
      </c>
      <c r="AL59" s="8">
        <v>0</v>
      </c>
      <c r="AM59" s="8">
        <v>357861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717326</v>
      </c>
      <c r="AV59" s="8">
        <v>0</v>
      </c>
      <c r="AW59" s="8">
        <v>7648329</v>
      </c>
    </row>
    <row r="60" spans="1:49">
      <c r="A60" s="15">
        <f t="shared" si="3"/>
        <v>33</v>
      </c>
      <c r="B60" s="16" t="s">
        <v>123</v>
      </c>
      <c r="C60" s="10">
        <v>46082</v>
      </c>
      <c r="D60" s="7" t="s">
        <v>57</v>
      </c>
      <c r="E60" s="7" t="s">
        <v>98</v>
      </c>
      <c r="F60" s="7">
        <v>170000</v>
      </c>
      <c r="G60" s="7" t="s">
        <v>246</v>
      </c>
      <c r="H60" s="7">
        <v>522</v>
      </c>
      <c r="I60" s="7" t="s">
        <v>247</v>
      </c>
      <c r="J60" s="7" t="s">
        <v>455</v>
      </c>
      <c r="K60" s="7" t="s">
        <v>248</v>
      </c>
      <c r="L60" s="7"/>
      <c r="M60" s="7" t="s">
        <v>249</v>
      </c>
      <c r="N60" s="7" t="s">
        <v>47</v>
      </c>
      <c r="O60" s="8">
        <v>10220447</v>
      </c>
      <c r="P60" s="8">
        <v>0</v>
      </c>
      <c r="Q60" s="8">
        <v>3871003</v>
      </c>
      <c r="R60" s="8">
        <v>0</v>
      </c>
      <c r="S60" s="8">
        <v>14091450</v>
      </c>
      <c r="T60" s="8">
        <v>1984620</v>
      </c>
      <c r="U60" s="8">
        <v>0</v>
      </c>
      <c r="V60" s="8">
        <v>0</v>
      </c>
      <c r="W60" s="8">
        <v>225000</v>
      </c>
      <c r="X60" s="8">
        <v>0</v>
      </c>
      <c r="Y60" s="8">
        <v>0</v>
      </c>
      <c r="Z60" s="8">
        <v>348525</v>
      </c>
      <c r="AA60" s="8">
        <v>167688</v>
      </c>
      <c r="AB60" s="8">
        <v>0</v>
      </c>
      <c r="AC60" s="8">
        <v>0</v>
      </c>
      <c r="AD60" s="8">
        <v>0</v>
      </c>
      <c r="AE60" s="8">
        <v>0</v>
      </c>
      <c r="AF60" s="8">
        <v>16817283</v>
      </c>
      <c r="AG60" s="8">
        <v>281829</v>
      </c>
      <c r="AH60" s="8">
        <v>0</v>
      </c>
      <c r="AI60" s="8">
        <v>110863</v>
      </c>
      <c r="AJ60" s="8">
        <v>0</v>
      </c>
      <c r="AK60" s="8">
        <v>1177210</v>
      </c>
      <c r="AL60" s="8">
        <v>0</v>
      </c>
      <c r="AM60" s="8">
        <v>167688</v>
      </c>
      <c r="AN60" s="8">
        <v>0</v>
      </c>
      <c r="AO60" s="8">
        <v>0</v>
      </c>
      <c r="AP60" s="8">
        <v>35500</v>
      </c>
      <c r="AQ60" s="8">
        <v>0</v>
      </c>
      <c r="AR60" s="8">
        <v>0</v>
      </c>
      <c r="AS60" s="8">
        <v>0</v>
      </c>
      <c r="AT60" s="8">
        <v>0</v>
      </c>
      <c r="AU60" s="8">
        <v>1773090</v>
      </c>
      <c r="AV60" s="8">
        <v>0</v>
      </c>
      <c r="AW60" s="8">
        <v>15044193</v>
      </c>
    </row>
    <row r="61" spans="1:49">
      <c r="A61" s="15">
        <f t="shared" si="3"/>
        <v>34</v>
      </c>
      <c r="B61" s="16" t="s">
        <v>123</v>
      </c>
      <c r="C61" s="10">
        <v>46082</v>
      </c>
      <c r="D61" s="7" t="s">
        <v>57</v>
      </c>
      <c r="E61" s="7" t="s">
        <v>98</v>
      </c>
      <c r="F61" s="7">
        <v>170000</v>
      </c>
      <c r="G61" s="7" t="s">
        <v>246</v>
      </c>
      <c r="H61" s="7">
        <v>732</v>
      </c>
      <c r="I61" s="7" t="s">
        <v>250</v>
      </c>
      <c r="J61" s="7" t="s">
        <v>455</v>
      </c>
      <c r="K61" s="7" t="s">
        <v>251</v>
      </c>
      <c r="L61" s="7"/>
      <c r="M61" s="7" t="s">
        <v>252</v>
      </c>
      <c r="N61" s="7" t="s">
        <v>47</v>
      </c>
      <c r="O61" s="8">
        <v>9922033</v>
      </c>
      <c r="P61" s="8">
        <v>0</v>
      </c>
      <c r="Q61" s="8">
        <v>325735</v>
      </c>
      <c r="R61" s="8">
        <v>0</v>
      </c>
      <c r="S61" s="8">
        <v>10247768</v>
      </c>
      <c r="T61" s="8">
        <v>1096590</v>
      </c>
      <c r="U61" s="8">
        <v>0</v>
      </c>
      <c r="V61" s="8">
        <v>0</v>
      </c>
      <c r="W61" s="8">
        <v>100000</v>
      </c>
      <c r="X61" s="8">
        <v>0</v>
      </c>
      <c r="Y61" s="8">
        <v>0</v>
      </c>
      <c r="Z61" s="8">
        <v>348525</v>
      </c>
      <c r="AA61" s="8">
        <v>531859</v>
      </c>
      <c r="AB61" s="8">
        <v>0</v>
      </c>
      <c r="AC61" s="8">
        <v>0</v>
      </c>
      <c r="AD61" s="8">
        <v>0</v>
      </c>
      <c r="AE61" s="8">
        <v>0</v>
      </c>
      <c r="AF61" s="8">
        <v>12324742</v>
      </c>
      <c r="AG61" s="8">
        <v>204955</v>
      </c>
      <c r="AH61" s="8">
        <v>102478</v>
      </c>
      <c r="AI61" s="8">
        <v>102478</v>
      </c>
      <c r="AJ61" s="8">
        <v>0</v>
      </c>
      <c r="AK61" s="8">
        <v>492990</v>
      </c>
      <c r="AL61" s="8">
        <v>0</v>
      </c>
      <c r="AM61" s="8">
        <v>531859</v>
      </c>
      <c r="AN61" s="8">
        <v>0</v>
      </c>
      <c r="AO61" s="8">
        <v>0</v>
      </c>
      <c r="AP61" s="8">
        <v>35500</v>
      </c>
      <c r="AQ61" s="8">
        <v>0</v>
      </c>
      <c r="AR61" s="8">
        <v>0</v>
      </c>
      <c r="AS61" s="8">
        <v>0</v>
      </c>
      <c r="AT61" s="8">
        <v>0</v>
      </c>
      <c r="AU61" s="8">
        <v>1470260</v>
      </c>
      <c r="AV61" s="8">
        <v>0</v>
      </c>
      <c r="AW61" s="8">
        <v>10854482</v>
      </c>
    </row>
    <row r="62" spans="1:49">
      <c r="A62" s="15">
        <f t="shared" si="3"/>
        <v>35</v>
      </c>
      <c r="B62" s="16" t="s">
        <v>123</v>
      </c>
      <c r="C62" s="10">
        <v>46082</v>
      </c>
      <c r="D62" s="7" t="s">
        <v>57</v>
      </c>
      <c r="E62" s="7" t="s">
        <v>98</v>
      </c>
      <c r="F62" s="7">
        <v>170000</v>
      </c>
      <c r="G62" s="7" t="s">
        <v>246</v>
      </c>
      <c r="H62" s="7">
        <v>733</v>
      </c>
      <c r="I62" s="7" t="s">
        <v>253</v>
      </c>
      <c r="J62" s="7" t="s">
        <v>455</v>
      </c>
      <c r="K62" s="7" t="s">
        <v>254</v>
      </c>
      <c r="L62" s="7"/>
      <c r="M62" s="7" t="s">
        <v>255</v>
      </c>
      <c r="N62" s="7" t="s">
        <v>47</v>
      </c>
      <c r="O62" s="8">
        <v>9106284</v>
      </c>
      <c r="P62" s="8">
        <v>0</v>
      </c>
      <c r="Q62" s="8">
        <v>1785428</v>
      </c>
      <c r="R62" s="8">
        <v>0</v>
      </c>
      <c r="S62" s="8">
        <v>10891712</v>
      </c>
      <c r="T62" s="8">
        <v>1096590</v>
      </c>
      <c r="U62" s="8">
        <v>0</v>
      </c>
      <c r="V62" s="8">
        <v>0</v>
      </c>
      <c r="W62" s="8">
        <v>225000</v>
      </c>
      <c r="X62" s="8">
        <v>0</v>
      </c>
      <c r="Y62" s="8">
        <v>0</v>
      </c>
      <c r="Z62" s="8">
        <v>348525</v>
      </c>
      <c r="AA62" s="8">
        <v>129611</v>
      </c>
      <c r="AB62" s="8">
        <v>0</v>
      </c>
      <c r="AC62" s="8">
        <v>0</v>
      </c>
      <c r="AD62" s="8">
        <v>0</v>
      </c>
      <c r="AE62" s="8">
        <v>0</v>
      </c>
      <c r="AF62" s="8">
        <v>12691438</v>
      </c>
      <c r="AG62" s="8">
        <v>217834</v>
      </c>
      <c r="AH62" s="8">
        <v>0</v>
      </c>
      <c r="AI62" s="8">
        <v>108917</v>
      </c>
      <c r="AJ62" s="8">
        <v>0</v>
      </c>
      <c r="AK62" s="8">
        <v>380743</v>
      </c>
      <c r="AL62" s="8">
        <v>0</v>
      </c>
      <c r="AM62" s="8">
        <v>129611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837105</v>
      </c>
      <c r="AV62" s="8">
        <v>0</v>
      </c>
      <c r="AW62" s="8">
        <v>11854333</v>
      </c>
    </row>
    <row r="63" spans="1:49">
      <c r="A63" s="15">
        <f t="shared" si="3"/>
        <v>36</v>
      </c>
      <c r="B63" s="16" t="s">
        <v>123</v>
      </c>
      <c r="C63" s="10">
        <v>46082</v>
      </c>
      <c r="D63" s="7" t="s">
        <v>57</v>
      </c>
      <c r="E63" s="7" t="s">
        <v>98</v>
      </c>
      <c r="F63" s="7">
        <v>190000</v>
      </c>
      <c r="G63" s="7" t="s">
        <v>256</v>
      </c>
      <c r="H63" s="7">
        <v>521</v>
      </c>
      <c r="I63" s="7" t="s">
        <v>257</v>
      </c>
      <c r="J63" s="7" t="s">
        <v>455</v>
      </c>
      <c r="K63" s="7" t="s">
        <v>258</v>
      </c>
      <c r="L63" s="7"/>
      <c r="M63" s="7" t="s">
        <v>259</v>
      </c>
      <c r="N63" s="7" t="s">
        <v>47</v>
      </c>
      <c r="O63" s="8">
        <v>7690269</v>
      </c>
      <c r="P63" s="8">
        <v>0</v>
      </c>
      <c r="Q63" s="8">
        <v>3385637</v>
      </c>
      <c r="R63" s="8">
        <v>0</v>
      </c>
      <c r="S63" s="8">
        <v>11075906</v>
      </c>
      <c r="T63" s="8">
        <v>1852312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325290</v>
      </c>
      <c r="AA63" s="8">
        <v>131804</v>
      </c>
      <c r="AB63" s="8">
        <v>0</v>
      </c>
      <c r="AC63" s="8">
        <v>0</v>
      </c>
      <c r="AD63" s="8">
        <v>0</v>
      </c>
      <c r="AE63" s="8">
        <v>0</v>
      </c>
      <c r="AF63" s="8">
        <v>13385312</v>
      </c>
      <c r="AG63" s="8">
        <v>221518</v>
      </c>
      <c r="AH63" s="8">
        <v>0</v>
      </c>
      <c r="AI63" s="8">
        <v>110759</v>
      </c>
      <c r="AJ63" s="8">
        <v>0</v>
      </c>
      <c r="AK63" s="8">
        <v>535412</v>
      </c>
      <c r="AL63" s="8">
        <v>0</v>
      </c>
      <c r="AM63" s="8">
        <v>131804</v>
      </c>
      <c r="AN63" s="8">
        <v>0</v>
      </c>
      <c r="AO63" s="8">
        <v>0</v>
      </c>
      <c r="AP63" s="8">
        <v>35500</v>
      </c>
      <c r="AQ63" s="8">
        <v>0</v>
      </c>
      <c r="AR63" s="8">
        <v>-112000</v>
      </c>
      <c r="AS63" s="8">
        <v>975000</v>
      </c>
      <c r="AT63" s="8">
        <v>0</v>
      </c>
      <c r="AU63" s="8">
        <v>1897993</v>
      </c>
      <c r="AV63" s="8">
        <v>0</v>
      </c>
      <c r="AW63" s="8">
        <v>11487319</v>
      </c>
    </row>
    <row r="64" spans="1:49">
      <c r="A64" s="15">
        <f t="shared" si="3"/>
        <v>37</v>
      </c>
      <c r="B64" s="16" t="s">
        <v>123</v>
      </c>
      <c r="C64" s="10">
        <v>46082</v>
      </c>
      <c r="D64" s="7" t="s">
        <v>57</v>
      </c>
      <c r="E64" s="7" t="s">
        <v>98</v>
      </c>
      <c r="F64" s="7">
        <v>190000</v>
      </c>
      <c r="G64" s="7" t="s">
        <v>256</v>
      </c>
      <c r="H64" s="7">
        <v>523</v>
      </c>
      <c r="I64" s="7" t="s">
        <v>260</v>
      </c>
      <c r="J64" s="7" t="s">
        <v>455</v>
      </c>
      <c r="K64" s="7" t="s">
        <v>261</v>
      </c>
      <c r="L64" s="7"/>
      <c r="M64" s="7" t="s">
        <v>262</v>
      </c>
      <c r="N64" s="7" t="s">
        <v>67</v>
      </c>
      <c r="O64" s="8">
        <v>5382252</v>
      </c>
      <c r="P64" s="8">
        <v>0</v>
      </c>
      <c r="Q64" s="8">
        <v>1627417</v>
      </c>
      <c r="R64" s="8">
        <v>0</v>
      </c>
      <c r="S64" s="8">
        <v>7009669</v>
      </c>
      <c r="T64" s="8">
        <v>877260</v>
      </c>
      <c r="U64" s="8">
        <v>0</v>
      </c>
      <c r="V64" s="8">
        <v>0</v>
      </c>
      <c r="W64" s="8">
        <v>225000</v>
      </c>
      <c r="X64" s="8">
        <v>0</v>
      </c>
      <c r="Y64" s="8">
        <v>0</v>
      </c>
      <c r="Z64" s="8">
        <v>348525</v>
      </c>
      <c r="AA64" s="8">
        <v>363802</v>
      </c>
      <c r="AB64" s="8">
        <v>0</v>
      </c>
      <c r="AC64" s="8">
        <v>0</v>
      </c>
      <c r="AD64" s="8">
        <v>0</v>
      </c>
      <c r="AE64" s="8">
        <v>0</v>
      </c>
      <c r="AF64" s="8">
        <v>8824256</v>
      </c>
      <c r="AG64" s="8">
        <v>140193</v>
      </c>
      <c r="AH64" s="8">
        <v>70097</v>
      </c>
      <c r="AI64" s="8">
        <v>70097</v>
      </c>
      <c r="AJ64" s="8">
        <v>0</v>
      </c>
      <c r="AK64" s="8">
        <v>88243</v>
      </c>
      <c r="AL64" s="8">
        <v>0</v>
      </c>
      <c r="AM64" s="8">
        <v>363802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732432</v>
      </c>
      <c r="AV64" s="8">
        <v>0</v>
      </c>
      <c r="AW64" s="8">
        <v>8091824</v>
      </c>
    </row>
    <row r="65" spans="1:49">
      <c r="A65" s="15">
        <f t="shared" si="3"/>
        <v>38</v>
      </c>
      <c r="B65" s="16" t="s">
        <v>123</v>
      </c>
      <c r="C65" s="10">
        <v>46082</v>
      </c>
      <c r="D65" s="7" t="s">
        <v>57</v>
      </c>
      <c r="E65" s="7" t="s">
        <v>98</v>
      </c>
      <c r="F65" s="7">
        <v>190000</v>
      </c>
      <c r="G65" s="7" t="s">
        <v>256</v>
      </c>
      <c r="H65" s="7">
        <v>525</v>
      </c>
      <c r="I65" s="7" t="s">
        <v>263</v>
      </c>
      <c r="J65" s="7" t="s">
        <v>455</v>
      </c>
      <c r="K65" s="7" t="s">
        <v>264</v>
      </c>
      <c r="L65" s="7"/>
      <c r="M65" s="7" t="s">
        <v>265</v>
      </c>
      <c r="N65" s="7" t="s">
        <v>47</v>
      </c>
      <c r="O65" s="8">
        <v>6604341</v>
      </c>
      <c r="P65" s="8">
        <v>0</v>
      </c>
      <c r="Q65" s="8">
        <v>1530108</v>
      </c>
      <c r="R65" s="8">
        <v>0</v>
      </c>
      <c r="S65" s="8">
        <v>8134449</v>
      </c>
      <c r="T65" s="8">
        <v>1023484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325290</v>
      </c>
      <c r="AA65" s="8">
        <v>422178</v>
      </c>
      <c r="AB65" s="8">
        <v>0</v>
      </c>
      <c r="AC65" s="8">
        <v>0</v>
      </c>
      <c r="AD65" s="8">
        <v>0</v>
      </c>
      <c r="AE65" s="8">
        <v>0</v>
      </c>
      <c r="AF65" s="8">
        <v>9905401</v>
      </c>
      <c r="AG65" s="8">
        <v>162689</v>
      </c>
      <c r="AH65" s="8">
        <v>81344</v>
      </c>
      <c r="AI65" s="8">
        <v>81344</v>
      </c>
      <c r="AJ65" s="8">
        <v>0</v>
      </c>
      <c r="AK65" s="8">
        <v>148581</v>
      </c>
      <c r="AL65" s="8">
        <v>0</v>
      </c>
      <c r="AM65" s="8">
        <v>422178</v>
      </c>
      <c r="AN65" s="8">
        <v>0</v>
      </c>
      <c r="AO65" s="8">
        <v>0</v>
      </c>
      <c r="AP65" s="8">
        <v>35500</v>
      </c>
      <c r="AQ65" s="8">
        <v>0</v>
      </c>
      <c r="AR65" s="8">
        <v>0</v>
      </c>
      <c r="AS65" s="8">
        <v>0</v>
      </c>
      <c r="AT65" s="8">
        <v>0</v>
      </c>
      <c r="AU65" s="8">
        <v>931636</v>
      </c>
      <c r="AV65" s="8">
        <v>0</v>
      </c>
      <c r="AW65" s="8">
        <v>8973765</v>
      </c>
    </row>
    <row r="66" spans="1:49">
      <c r="A66" s="15">
        <f t="shared" si="3"/>
        <v>39</v>
      </c>
      <c r="B66" s="16" t="s">
        <v>123</v>
      </c>
      <c r="C66" s="10">
        <v>46082</v>
      </c>
      <c r="D66" s="7" t="s">
        <v>57</v>
      </c>
      <c r="E66" s="7" t="s">
        <v>98</v>
      </c>
      <c r="F66" s="7">
        <v>200000</v>
      </c>
      <c r="G66" s="7" t="s">
        <v>146</v>
      </c>
      <c r="H66" s="7">
        <v>533</v>
      </c>
      <c r="I66" s="7" t="s">
        <v>266</v>
      </c>
      <c r="J66" s="7" t="s">
        <v>455</v>
      </c>
      <c r="K66" s="7" t="s">
        <v>267</v>
      </c>
      <c r="L66" s="7"/>
      <c r="M66" s="7" t="s">
        <v>268</v>
      </c>
      <c r="N66" s="7" t="s">
        <v>47</v>
      </c>
      <c r="O66" s="8">
        <v>8388018</v>
      </c>
      <c r="P66" s="8">
        <v>0</v>
      </c>
      <c r="Q66" s="8">
        <v>4279414</v>
      </c>
      <c r="R66" s="8">
        <v>0</v>
      </c>
      <c r="S66" s="8">
        <v>12667432</v>
      </c>
      <c r="T66" s="8">
        <v>1852312</v>
      </c>
      <c r="U66" s="8">
        <v>0</v>
      </c>
      <c r="V66" s="8">
        <v>0</v>
      </c>
      <c r="W66" s="8">
        <v>0</v>
      </c>
      <c r="X66" s="8">
        <v>170000</v>
      </c>
      <c r="Y66" s="8">
        <v>0</v>
      </c>
      <c r="Z66" s="8">
        <v>325290</v>
      </c>
      <c r="AA66" s="8">
        <v>150742</v>
      </c>
      <c r="AB66" s="8">
        <v>0</v>
      </c>
      <c r="AC66" s="8">
        <v>0</v>
      </c>
      <c r="AD66" s="8">
        <v>0</v>
      </c>
      <c r="AE66" s="8">
        <v>0</v>
      </c>
      <c r="AF66" s="8">
        <v>15165776</v>
      </c>
      <c r="AG66" s="8">
        <v>253349</v>
      </c>
      <c r="AH66" s="8">
        <v>0</v>
      </c>
      <c r="AI66" s="8">
        <v>110863</v>
      </c>
      <c r="AJ66" s="8">
        <v>0</v>
      </c>
      <c r="AK66" s="8">
        <v>758289</v>
      </c>
      <c r="AL66" s="8">
        <v>0</v>
      </c>
      <c r="AM66" s="8">
        <v>150742</v>
      </c>
      <c r="AN66" s="8">
        <v>1000000</v>
      </c>
      <c r="AO66" s="8">
        <v>0</v>
      </c>
      <c r="AP66" s="8">
        <v>35500</v>
      </c>
      <c r="AQ66" s="8">
        <v>0</v>
      </c>
      <c r="AR66" s="8">
        <v>-98000</v>
      </c>
      <c r="AS66" s="8">
        <v>5350000</v>
      </c>
      <c r="AT66" s="8">
        <v>0</v>
      </c>
      <c r="AU66" s="8">
        <v>7560743</v>
      </c>
      <c r="AV66" s="8">
        <v>0</v>
      </c>
      <c r="AW66" s="8">
        <v>7605033</v>
      </c>
    </row>
    <row r="67" spans="1:49">
      <c r="A67" s="15">
        <f t="shared" si="3"/>
        <v>40</v>
      </c>
      <c r="B67" s="16" t="s">
        <v>123</v>
      </c>
      <c r="C67" s="10">
        <v>46082</v>
      </c>
      <c r="D67" s="7" t="s">
        <v>57</v>
      </c>
      <c r="E67" s="7" t="s">
        <v>98</v>
      </c>
      <c r="F67" s="7">
        <v>200000</v>
      </c>
      <c r="G67" s="7" t="s">
        <v>146</v>
      </c>
      <c r="H67" s="7">
        <v>536</v>
      </c>
      <c r="I67" s="7" t="s">
        <v>269</v>
      </c>
      <c r="J67" s="7" t="s">
        <v>455</v>
      </c>
      <c r="K67" s="7" t="s">
        <v>270</v>
      </c>
      <c r="L67" s="7"/>
      <c r="M67" s="7" t="s">
        <v>271</v>
      </c>
      <c r="N67" s="7" t="s">
        <v>47</v>
      </c>
      <c r="O67" s="8">
        <v>9222099</v>
      </c>
      <c r="P67" s="8">
        <v>0</v>
      </c>
      <c r="Q67" s="8">
        <v>4332405</v>
      </c>
      <c r="R67" s="8">
        <v>0</v>
      </c>
      <c r="S67" s="8">
        <v>13554504</v>
      </c>
      <c r="T67" s="8">
        <v>1720004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302055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15576563</v>
      </c>
      <c r="AG67" s="8">
        <v>0</v>
      </c>
      <c r="AH67" s="8">
        <v>0</v>
      </c>
      <c r="AI67" s="8">
        <v>0</v>
      </c>
      <c r="AJ67" s="8">
        <v>0</v>
      </c>
      <c r="AK67" s="8">
        <v>934594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934594</v>
      </c>
      <c r="AV67" s="8">
        <v>0</v>
      </c>
      <c r="AW67" s="8">
        <v>14641969</v>
      </c>
    </row>
    <row r="68" spans="1:49">
      <c r="A68" s="15">
        <f t="shared" si="3"/>
        <v>41</v>
      </c>
      <c r="B68" s="16" t="s">
        <v>123</v>
      </c>
      <c r="C68" s="10">
        <v>46082</v>
      </c>
      <c r="D68" s="7" t="s">
        <v>57</v>
      </c>
      <c r="E68" s="7" t="s">
        <v>98</v>
      </c>
      <c r="F68" s="7">
        <v>200000</v>
      </c>
      <c r="G68" s="7" t="s">
        <v>146</v>
      </c>
      <c r="H68" s="7">
        <v>552</v>
      </c>
      <c r="I68" s="7" t="s">
        <v>272</v>
      </c>
      <c r="J68" s="7" t="s">
        <v>455</v>
      </c>
      <c r="K68" s="7" t="s">
        <v>273</v>
      </c>
      <c r="L68" s="7"/>
      <c r="M68" s="7" t="s">
        <v>274</v>
      </c>
      <c r="N68" s="7" t="s">
        <v>47</v>
      </c>
      <c r="O68" s="8">
        <v>10637826</v>
      </c>
      <c r="P68" s="8">
        <v>0</v>
      </c>
      <c r="Q68" s="8">
        <v>4466978</v>
      </c>
      <c r="R68" s="8">
        <v>500000</v>
      </c>
      <c r="S68" s="8">
        <v>15604804</v>
      </c>
      <c r="T68" s="8">
        <v>1345512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325290</v>
      </c>
      <c r="AA68" s="8">
        <v>185697</v>
      </c>
      <c r="AB68" s="8">
        <v>0</v>
      </c>
      <c r="AC68" s="8">
        <v>0</v>
      </c>
      <c r="AD68" s="8">
        <v>0</v>
      </c>
      <c r="AE68" s="8">
        <v>0</v>
      </c>
      <c r="AF68" s="8">
        <v>17461303</v>
      </c>
      <c r="AG68" s="8">
        <v>312096</v>
      </c>
      <c r="AH68" s="8">
        <v>0</v>
      </c>
      <c r="AI68" s="8">
        <v>110863</v>
      </c>
      <c r="AJ68" s="8">
        <v>0</v>
      </c>
      <c r="AK68" s="8">
        <v>1222291</v>
      </c>
      <c r="AL68" s="8">
        <v>0</v>
      </c>
      <c r="AM68" s="8">
        <v>185697</v>
      </c>
      <c r="AN68" s="8">
        <v>0</v>
      </c>
      <c r="AO68" s="8">
        <v>0</v>
      </c>
      <c r="AP68" s="8">
        <v>35500</v>
      </c>
      <c r="AQ68" s="8">
        <v>0</v>
      </c>
      <c r="AR68" s="8">
        <v>0</v>
      </c>
      <c r="AS68" s="8">
        <v>1675000</v>
      </c>
      <c r="AT68" s="8">
        <v>0</v>
      </c>
      <c r="AU68" s="8">
        <v>3541447</v>
      </c>
      <c r="AV68" s="8">
        <v>0</v>
      </c>
      <c r="AW68" s="8">
        <v>13919856</v>
      </c>
    </row>
    <row r="69" spans="1:49">
      <c r="A69" s="15">
        <f t="shared" si="3"/>
        <v>42</v>
      </c>
      <c r="B69" s="16" t="s">
        <v>123</v>
      </c>
      <c r="C69" s="10">
        <v>46082</v>
      </c>
      <c r="D69" s="7" t="s">
        <v>57</v>
      </c>
      <c r="E69" s="7" t="s">
        <v>98</v>
      </c>
      <c r="F69" s="7">
        <v>200000</v>
      </c>
      <c r="G69" s="7" t="s">
        <v>146</v>
      </c>
      <c r="H69" s="7">
        <v>610</v>
      </c>
      <c r="I69" s="7" t="s">
        <v>275</v>
      </c>
      <c r="J69" s="7" t="s">
        <v>455</v>
      </c>
      <c r="K69" s="7" t="s">
        <v>276</v>
      </c>
      <c r="L69" s="7"/>
      <c r="M69" s="7" t="s">
        <v>277</v>
      </c>
      <c r="N69" s="7" t="s">
        <v>67</v>
      </c>
      <c r="O69" s="8">
        <v>5831250</v>
      </c>
      <c r="P69" s="8">
        <v>0</v>
      </c>
      <c r="Q69" s="8">
        <v>1943750</v>
      </c>
      <c r="R69" s="8">
        <v>0</v>
      </c>
      <c r="S69" s="8">
        <v>7775000</v>
      </c>
      <c r="T69" s="8">
        <v>852908</v>
      </c>
      <c r="U69" s="8">
        <v>0</v>
      </c>
      <c r="V69" s="8">
        <v>81000</v>
      </c>
      <c r="W69" s="8">
        <v>0</v>
      </c>
      <c r="X69" s="8">
        <v>0</v>
      </c>
      <c r="Y69" s="8">
        <v>0</v>
      </c>
      <c r="Z69" s="8">
        <v>116175</v>
      </c>
      <c r="AA69" s="8">
        <v>403523</v>
      </c>
      <c r="AB69" s="8">
        <v>0</v>
      </c>
      <c r="AC69" s="8">
        <v>0</v>
      </c>
      <c r="AD69" s="8">
        <v>0</v>
      </c>
      <c r="AE69" s="8">
        <v>0</v>
      </c>
      <c r="AF69" s="8">
        <v>9228606</v>
      </c>
      <c r="AG69" s="8">
        <v>155500</v>
      </c>
      <c r="AH69" s="8">
        <v>77750</v>
      </c>
      <c r="AI69" s="8">
        <v>77750</v>
      </c>
      <c r="AJ69" s="8">
        <v>0</v>
      </c>
      <c r="AK69" s="8">
        <v>161501</v>
      </c>
      <c r="AL69" s="8">
        <v>0</v>
      </c>
      <c r="AM69" s="8">
        <v>403523</v>
      </c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>
        <v>0</v>
      </c>
      <c r="AT69" s="8">
        <v>0</v>
      </c>
      <c r="AU69" s="8">
        <v>876024</v>
      </c>
      <c r="AV69" s="8">
        <v>0</v>
      </c>
      <c r="AW69" s="8">
        <v>8352582</v>
      </c>
    </row>
    <row r="70" spans="1:49">
      <c r="A70" s="15">
        <f t="shared" si="3"/>
        <v>43</v>
      </c>
      <c r="B70" s="16" t="s">
        <v>123</v>
      </c>
      <c r="C70" s="10">
        <v>46082</v>
      </c>
      <c r="D70" s="7" t="s">
        <v>57</v>
      </c>
      <c r="E70" s="7" t="s">
        <v>98</v>
      </c>
      <c r="F70" s="7">
        <v>200000</v>
      </c>
      <c r="G70" s="7" t="s">
        <v>146</v>
      </c>
      <c r="H70" s="7">
        <v>611</v>
      </c>
      <c r="I70" s="7" t="s">
        <v>278</v>
      </c>
      <c r="J70" s="7" t="s">
        <v>455</v>
      </c>
      <c r="K70" s="7" t="s">
        <v>279</v>
      </c>
      <c r="L70" s="7"/>
      <c r="M70" s="7" t="s">
        <v>280</v>
      </c>
      <c r="N70" s="7" t="s">
        <v>47</v>
      </c>
      <c r="O70" s="8">
        <v>7536585</v>
      </c>
      <c r="P70" s="8">
        <v>0</v>
      </c>
      <c r="Q70" s="8">
        <v>1457601</v>
      </c>
      <c r="R70" s="8">
        <v>0</v>
      </c>
      <c r="S70" s="8">
        <v>8994186</v>
      </c>
      <c r="T70" s="8">
        <v>1023484</v>
      </c>
      <c r="U70" s="8">
        <v>0</v>
      </c>
      <c r="V70" s="8">
        <v>45000</v>
      </c>
      <c r="W70" s="8">
        <v>0</v>
      </c>
      <c r="X70" s="8">
        <v>0</v>
      </c>
      <c r="Y70" s="8">
        <v>0</v>
      </c>
      <c r="Z70" s="8">
        <v>209115</v>
      </c>
      <c r="AA70" s="8">
        <v>466798</v>
      </c>
      <c r="AB70" s="8">
        <v>0</v>
      </c>
      <c r="AC70" s="8">
        <v>0</v>
      </c>
      <c r="AD70" s="8">
        <v>0</v>
      </c>
      <c r="AE70" s="8">
        <v>0</v>
      </c>
      <c r="AF70" s="8">
        <v>10738583</v>
      </c>
      <c r="AG70" s="8">
        <v>179884</v>
      </c>
      <c r="AH70" s="8">
        <v>89942</v>
      </c>
      <c r="AI70" s="8">
        <v>89942</v>
      </c>
      <c r="AJ70" s="8">
        <v>0</v>
      </c>
      <c r="AK70" s="8">
        <v>161079</v>
      </c>
      <c r="AL70" s="8">
        <v>0</v>
      </c>
      <c r="AM70" s="8">
        <v>466798</v>
      </c>
      <c r="AN70" s="8">
        <v>0</v>
      </c>
      <c r="AO70" s="8">
        <v>0</v>
      </c>
      <c r="AP70" s="8">
        <v>35500</v>
      </c>
      <c r="AQ70" s="8">
        <v>0</v>
      </c>
      <c r="AR70" s="8">
        <v>0</v>
      </c>
      <c r="AS70" s="8">
        <v>1566667</v>
      </c>
      <c r="AT70" s="8">
        <v>0</v>
      </c>
      <c r="AU70" s="8">
        <v>2589812</v>
      </c>
      <c r="AV70" s="8">
        <v>0</v>
      </c>
      <c r="AW70" s="8">
        <v>8148771</v>
      </c>
    </row>
    <row r="71" spans="1:49">
      <c r="A71" s="15">
        <f t="shared" si="3"/>
        <v>44</v>
      </c>
      <c r="B71" s="16" t="s">
        <v>123</v>
      </c>
      <c r="C71" s="10">
        <v>46082</v>
      </c>
      <c r="D71" s="7" t="s">
        <v>57</v>
      </c>
      <c r="E71" s="7" t="s">
        <v>98</v>
      </c>
      <c r="F71" s="7">
        <v>200000</v>
      </c>
      <c r="G71" s="7" t="s">
        <v>146</v>
      </c>
      <c r="H71" s="7">
        <v>613</v>
      </c>
      <c r="I71" s="7" t="s">
        <v>281</v>
      </c>
      <c r="J71" s="7" t="s">
        <v>455</v>
      </c>
      <c r="K71" s="7" t="s">
        <v>282</v>
      </c>
      <c r="L71" s="7"/>
      <c r="M71" s="7" t="s">
        <v>283</v>
      </c>
      <c r="N71" s="7" t="s">
        <v>47</v>
      </c>
      <c r="O71" s="8">
        <v>5671105</v>
      </c>
      <c r="P71" s="8">
        <v>0</v>
      </c>
      <c r="Q71" s="8">
        <v>1845621</v>
      </c>
      <c r="R71" s="8">
        <v>0</v>
      </c>
      <c r="S71" s="8">
        <v>7516726</v>
      </c>
      <c r="T71" s="8">
        <v>1023484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325290</v>
      </c>
      <c r="AA71" s="8">
        <v>390118</v>
      </c>
      <c r="AB71" s="8">
        <v>0</v>
      </c>
      <c r="AC71" s="8">
        <v>0</v>
      </c>
      <c r="AD71" s="8">
        <v>0</v>
      </c>
      <c r="AE71" s="8">
        <v>0</v>
      </c>
      <c r="AF71" s="8">
        <v>9255618</v>
      </c>
      <c r="AG71" s="8">
        <v>150335</v>
      </c>
      <c r="AH71" s="8">
        <v>75167</v>
      </c>
      <c r="AI71" s="8">
        <v>75167</v>
      </c>
      <c r="AJ71" s="8">
        <v>0</v>
      </c>
      <c r="AK71" s="8">
        <v>138834</v>
      </c>
      <c r="AL71" s="8">
        <v>0</v>
      </c>
      <c r="AM71" s="8">
        <v>390118</v>
      </c>
      <c r="AN71" s="8">
        <v>0</v>
      </c>
      <c r="AO71" s="8">
        <v>0</v>
      </c>
      <c r="AP71" s="8">
        <v>35500</v>
      </c>
      <c r="AQ71" s="8">
        <v>0</v>
      </c>
      <c r="AR71" s="8">
        <v>0</v>
      </c>
      <c r="AS71" s="8">
        <v>0</v>
      </c>
      <c r="AT71" s="8">
        <v>0</v>
      </c>
      <c r="AU71" s="8">
        <v>865121</v>
      </c>
      <c r="AV71" s="8">
        <v>0</v>
      </c>
      <c r="AW71" s="8">
        <v>8390497</v>
      </c>
    </row>
    <row r="72" spans="1:49">
      <c r="A72" s="15">
        <f t="shared" si="3"/>
        <v>45</v>
      </c>
      <c r="B72" s="16" t="s">
        <v>123</v>
      </c>
      <c r="C72" s="10">
        <v>46082</v>
      </c>
      <c r="D72" s="7" t="s">
        <v>57</v>
      </c>
      <c r="E72" s="7" t="s">
        <v>98</v>
      </c>
      <c r="F72" s="7">
        <v>200000</v>
      </c>
      <c r="G72" s="7" t="s">
        <v>146</v>
      </c>
      <c r="H72" s="7">
        <v>616</v>
      </c>
      <c r="I72" s="7" t="s">
        <v>284</v>
      </c>
      <c r="J72" s="7" t="s">
        <v>455</v>
      </c>
      <c r="K72" s="7" t="s">
        <v>285</v>
      </c>
      <c r="L72" s="7"/>
      <c r="M72" s="7" t="s">
        <v>286</v>
      </c>
      <c r="N72" s="7" t="s">
        <v>47</v>
      </c>
      <c r="O72" s="8">
        <v>8024559</v>
      </c>
      <c r="P72" s="8">
        <v>0</v>
      </c>
      <c r="Q72" s="8">
        <v>2547399</v>
      </c>
      <c r="R72" s="8">
        <v>500000</v>
      </c>
      <c r="S72" s="8">
        <v>11071958</v>
      </c>
      <c r="T72" s="8">
        <v>1023484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325290</v>
      </c>
      <c r="AA72" s="8">
        <v>574634</v>
      </c>
      <c r="AB72" s="8">
        <v>0</v>
      </c>
      <c r="AC72" s="8">
        <v>0</v>
      </c>
      <c r="AD72" s="8">
        <v>0</v>
      </c>
      <c r="AE72" s="8">
        <v>0</v>
      </c>
      <c r="AF72" s="8">
        <v>12995366</v>
      </c>
      <c r="AG72" s="8">
        <v>221439</v>
      </c>
      <c r="AH72" s="8">
        <v>110720</v>
      </c>
      <c r="AI72" s="8">
        <v>110720</v>
      </c>
      <c r="AJ72" s="8">
        <v>0</v>
      </c>
      <c r="AK72" s="8">
        <v>519815</v>
      </c>
      <c r="AL72" s="8">
        <v>0</v>
      </c>
      <c r="AM72" s="8">
        <v>574634</v>
      </c>
      <c r="AN72" s="8">
        <v>0</v>
      </c>
      <c r="AO72" s="8">
        <v>0</v>
      </c>
      <c r="AP72" s="8">
        <v>35500</v>
      </c>
      <c r="AQ72" s="8">
        <v>0</v>
      </c>
      <c r="AR72" s="8">
        <v>-112000</v>
      </c>
      <c r="AS72" s="8">
        <v>6400000</v>
      </c>
      <c r="AT72" s="8">
        <v>0</v>
      </c>
      <c r="AU72" s="8">
        <v>7860828</v>
      </c>
      <c r="AV72" s="8">
        <v>0</v>
      </c>
      <c r="AW72" s="8">
        <v>5134538</v>
      </c>
    </row>
    <row r="73" spans="1:49">
      <c r="A73" s="15">
        <f t="shared" si="3"/>
        <v>46</v>
      </c>
      <c r="B73" s="16" t="s">
        <v>123</v>
      </c>
      <c r="C73" s="10">
        <v>46082</v>
      </c>
      <c r="D73" s="7" t="s">
        <v>57</v>
      </c>
      <c r="E73" s="7" t="s">
        <v>98</v>
      </c>
      <c r="F73" s="7">
        <v>200000</v>
      </c>
      <c r="G73" s="7" t="s">
        <v>146</v>
      </c>
      <c r="H73" s="7">
        <v>829</v>
      </c>
      <c r="I73" s="7" t="s">
        <v>287</v>
      </c>
      <c r="J73" s="7" t="s">
        <v>455</v>
      </c>
      <c r="K73" s="7" t="s">
        <v>288</v>
      </c>
      <c r="L73" s="7"/>
      <c r="M73" s="7" t="s">
        <v>289</v>
      </c>
      <c r="N73" s="7" t="s">
        <v>47</v>
      </c>
      <c r="O73" s="8">
        <v>8360000</v>
      </c>
      <c r="P73" s="8">
        <v>0</v>
      </c>
      <c r="Q73" s="8">
        <v>2786667</v>
      </c>
      <c r="R73" s="8">
        <v>0</v>
      </c>
      <c r="S73" s="8">
        <v>11146667</v>
      </c>
      <c r="T73" s="8">
        <v>1852312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325290</v>
      </c>
      <c r="AA73" s="8">
        <v>132645</v>
      </c>
      <c r="AB73" s="8">
        <v>0</v>
      </c>
      <c r="AC73" s="8">
        <v>0</v>
      </c>
      <c r="AD73" s="8">
        <v>0</v>
      </c>
      <c r="AE73" s="8">
        <v>0</v>
      </c>
      <c r="AF73" s="8">
        <v>13456914</v>
      </c>
      <c r="AG73" s="8">
        <v>222933</v>
      </c>
      <c r="AH73" s="8">
        <v>0</v>
      </c>
      <c r="AI73" s="8">
        <v>110863</v>
      </c>
      <c r="AJ73" s="8">
        <v>0</v>
      </c>
      <c r="AK73" s="8">
        <v>538277</v>
      </c>
      <c r="AL73" s="8">
        <v>0</v>
      </c>
      <c r="AM73" s="8">
        <v>132645</v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>
        <v>0</v>
      </c>
      <c r="AT73" s="8">
        <v>0</v>
      </c>
      <c r="AU73" s="8">
        <v>1004718</v>
      </c>
      <c r="AV73" s="8">
        <v>0</v>
      </c>
      <c r="AW73" s="8">
        <v>12452196</v>
      </c>
    </row>
    <row r="74" spans="1:49">
      <c r="A74" s="15">
        <f t="shared" si="3"/>
        <v>47</v>
      </c>
      <c r="B74" s="16" t="s">
        <v>123</v>
      </c>
      <c r="C74" s="10">
        <v>46082</v>
      </c>
      <c r="D74" s="7" t="s">
        <v>57</v>
      </c>
      <c r="E74" s="7" t="s">
        <v>98</v>
      </c>
      <c r="F74" s="7">
        <v>300000</v>
      </c>
      <c r="G74" s="7" t="s">
        <v>101</v>
      </c>
      <c r="H74" s="7">
        <v>620</v>
      </c>
      <c r="I74" s="7" t="s">
        <v>111</v>
      </c>
      <c r="J74" s="7" t="s">
        <v>455</v>
      </c>
      <c r="K74" s="7" t="s">
        <v>290</v>
      </c>
      <c r="L74" s="7"/>
      <c r="M74" s="7" t="s">
        <v>291</v>
      </c>
      <c r="N74" s="7" t="s">
        <v>47</v>
      </c>
      <c r="O74" s="8">
        <v>5892216</v>
      </c>
      <c r="P74" s="8">
        <v>0</v>
      </c>
      <c r="Q74" s="8">
        <v>1506506</v>
      </c>
      <c r="R74" s="8">
        <v>750000</v>
      </c>
      <c r="S74" s="8">
        <v>8148722</v>
      </c>
      <c r="T74" s="8">
        <v>1242802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394995</v>
      </c>
      <c r="AA74" s="8">
        <v>422919</v>
      </c>
      <c r="AB74" s="8">
        <v>0</v>
      </c>
      <c r="AC74" s="8">
        <v>0</v>
      </c>
      <c r="AD74" s="8">
        <v>0</v>
      </c>
      <c r="AE74" s="8">
        <v>0</v>
      </c>
      <c r="AF74" s="8">
        <v>10209438</v>
      </c>
      <c r="AG74" s="8">
        <v>162974</v>
      </c>
      <c r="AH74" s="8">
        <v>81487</v>
      </c>
      <c r="AI74" s="8">
        <v>81487</v>
      </c>
      <c r="AJ74" s="8">
        <v>0</v>
      </c>
      <c r="AK74" s="8">
        <v>153142</v>
      </c>
      <c r="AL74" s="8">
        <v>0</v>
      </c>
      <c r="AM74" s="8">
        <v>422919</v>
      </c>
      <c r="AN74" s="8">
        <v>0</v>
      </c>
      <c r="AO74" s="8">
        <v>0</v>
      </c>
      <c r="AP74" s="8">
        <v>35500</v>
      </c>
      <c r="AQ74" s="8">
        <v>0</v>
      </c>
      <c r="AR74" s="8">
        <v>0</v>
      </c>
      <c r="AS74" s="8">
        <v>1150000</v>
      </c>
      <c r="AT74" s="8">
        <v>0</v>
      </c>
      <c r="AU74" s="8">
        <v>2087509</v>
      </c>
      <c r="AV74" s="8">
        <v>0</v>
      </c>
      <c r="AW74" s="8">
        <v>8121929</v>
      </c>
    </row>
    <row r="75" spans="1:49">
      <c r="A75" s="15">
        <f t="shared" si="3"/>
        <v>48</v>
      </c>
      <c r="B75" s="16" t="s">
        <v>123</v>
      </c>
      <c r="C75" s="10">
        <v>46082</v>
      </c>
      <c r="D75" s="7" t="s">
        <v>57</v>
      </c>
      <c r="E75" s="7" t="s">
        <v>98</v>
      </c>
      <c r="F75" s="7">
        <v>400000</v>
      </c>
      <c r="G75" s="7" t="s">
        <v>292</v>
      </c>
      <c r="H75" s="7">
        <v>560</v>
      </c>
      <c r="I75" s="7" t="s">
        <v>293</v>
      </c>
      <c r="J75" s="7" t="s">
        <v>455</v>
      </c>
      <c r="K75" s="7" t="s">
        <v>294</v>
      </c>
      <c r="L75" s="7"/>
      <c r="M75" s="7" t="s">
        <v>295</v>
      </c>
      <c r="N75" s="7" t="s">
        <v>47</v>
      </c>
      <c r="O75" s="8">
        <v>8332789</v>
      </c>
      <c r="P75" s="8">
        <v>0</v>
      </c>
      <c r="Q75" s="8">
        <v>3154870</v>
      </c>
      <c r="R75" s="8">
        <v>0</v>
      </c>
      <c r="S75" s="8">
        <v>11487659</v>
      </c>
      <c r="T75" s="8">
        <v>1096590</v>
      </c>
      <c r="U75" s="8">
        <v>0</v>
      </c>
      <c r="V75" s="8">
        <v>0</v>
      </c>
      <c r="W75" s="8">
        <v>225000</v>
      </c>
      <c r="X75" s="8">
        <v>0</v>
      </c>
      <c r="Y75" s="8">
        <v>0</v>
      </c>
      <c r="Z75" s="8">
        <v>348525</v>
      </c>
      <c r="AA75" s="8">
        <v>136703</v>
      </c>
      <c r="AB75" s="8">
        <v>0</v>
      </c>
      <c r="AC75" s="8">
        <v>0</v>
      </c>
      <c r="AD75" s="8">
        <v>0</v>
      </c>
      <c r="AE75" s="8">
        <v>0</v>
      </c>
      <c r="AF75" s="8">
        <v>13294477</v>
      </c>
      <c r="AG75" s="8">
        <v>229753</v>
      </c>
      <c r="AH75" s="8">
        <v>0</v>
      </c>
      <c r="AI75" s="8">
        <v>110863</v>
      </c>
      <c r="AJ75" s="8">
        <v>0</v>
      </c>
      <c r="AK75" s="8">
        <v>531779</v>
      </c>
      <c r="AL75" s="8">
        <v>0</v>
      </c>
      <c r="AM75" s="8">
        <v>136703</v>
      </c>
      <c r="AN75" s="8">
        <v>0</v>
      </c>
      <c r="AO75" s="8">
        <v>0</v>
      </c>
      <c r="AP75" s="8">
        <v>35500</v>
      </c>
      <c r="AQ75" s="8">
        <v>0</v>
      </c>
      <c r="AR75" s="8">
        <v>0</v>
      </c>
      <c r="AS75" s="8">
        <v>0</v>
      </c>
      <c r="AT75" s="8">
        <v>0</v>
      </c>
      <c r="AU75" s="8">
        <v>1044598</v>
      </c>
      <c r="AV75" s="8">
        <v>0</v>
      </c>
      <c r="AW75" s="8">
        <v>12249879</v>
      </c>
    </row>
    <row r="76" spans="1:49">
      <c r="A76" s="15">
        <f t="shared" si="3"/>
        <v>49</v>
      </c>
      <c r="B76" s="16" t="s">
        <v>123</v>
      </c>
      <c r="C76" s="10">
        <v>46082</v>
      </c>
      <c r="D76" s="7" t="s">
        <v>57</v>
      </c>
      <c r="E76" s="7" t="s">
        <v>98</v>
      </c>
      <c r="F76" s="7">
        <v>400000</v>
      </c>
      <c r="G76" s="7" t="s">
        <v>292</v>
      </c>
      <c r="H76" s="7">
        <v>717</v>
      </c>
      <c r="I76" s="7" t="s">
        <v>296</v>
      </c>
      <c r="J76" s="7" t="s">
        <v>455</v>
      </c>
      <c r="K76" s="7" t="s">
        <v>297</v>
      </c>
      <c r="L76" s="7"/>
      <c r="M76" s="7" t="s">
        <v>298</v>
      </c>
      <c r="N76" s="7" t="s">
        <v>47</v>
      </c>
      <c r="O76" s="8">
        <v>5705410</v>
      </c>
      <c r="P76" s="8">
        <v>0</v>
      </c>
      <c r="Q76" s="8">
        <v>668486</v>
      </c>
      <c r="R76" s="8">
        <v>0</v>
      </c>
      <c r="S76" s="8">
        <v>6373896</v>
      </c>
      <c r="T76" s="8">
        <v>1009140</v>
      </c>
      <c r="U76" s="8">
        <v>0</v>
      </c>
      <c r="V76" s="8">
        <v>0</v>
      </c>
      <c r="W76" s="8">
        <v>100000</v>
      </c>
      <c r="X76" s="8">
        <v>0</v>
      </c>
      <c r="Y76" s="8">
        <v>0</v>
      </c>
      <c r="Z76" s="8">
        <v>348525</v>
      </c>
      <c r="AA76" s="8">
        <v>330806</v>
      </c>
      <c r="AB76" s="8">
        <v>0</v>
      </c>
      <c r="AC76" s="8">
        <v>0</v>
      </c>
      <c r="AD76" s="8">
        <v>0</v>
      </c>
      <c r="AE76" s="8">
        <v>0</v>
      </c>
      <c r="AF76" s="8">
        <v>8162367</v>
      </c>
      <c r="AG76" s="8">
        <v>127478</v>
      </c>
      <c r="AH76" s="8">
        <v>63739</v>
      </c>
      <c r="AI76" s="8">
        <v>63739</v>
      </c>
      <c r="AJ76" s="8">
        <v>0</v>
      </c>
      <c r="AK76" s="8">
        <v>81624</v>
      </c>
      <c r="AL76" s="8">
        <v>0</v>
      </c>
      <c r="AM76" s="8">
        <v>330806</v>
      </c>
      <c r="AN76" s="8">
        <v>0</v>
      </c>
      <c r="AO76" s="8">
        <v>0</v>
      </c>
      <c r="AP76" s="8">
        <v>35500</v>
      </c>
      <c r="AQ76" s="8">
        <v>0</v>
      </c>
      <c r="AR76" s="8">
        <v>0</v>
      </c>
      <c r="AS76" s="8">
        <v>0</v>
      </c>
      <c r="AT76" s="8">
        <v>0</v>
      </c>
      <c r="AU76" s="8">
        <v>702886</v>
      </c>
      <c r="AV76" s="8">
        <v>0</v>
      </c>
      <c r="AW76" s="8">
        <v>7459481</v>
      </c>
    </row>
    <row r="77" spans="1:49">
      <c r="A77" s="15">
        <f t="shared" si="3"/>
        <v>50</v>
      </c>
      <c r="B77" s="16" t="s">
        <v>123</v>
      </c>
      <c r="C77" s="10">
        <v>46082</v>
      </c>
      <c r="D77" s="7" t="s">
        <v>57</v>
      </c>
      <c r="E77" s="7" t="s">
        <v>98</v>
      </c>
      <c r="F77" s="7">
        <v>600000</v>
      </c>
      <c r="G77" s="7" t="s">
        <v>299</v>
      </c>
      <c r="H77" s="7">
        <v>534</v>
      </c>
      <c r="I77" s="7" t="s">
        <v>300</v>
      </c>
      <c r="J77" s="7" t="s">
        <v>455</v>
      </c>
      <c r="K77" s="7" t="s">
        <v>301</v>
      </c>
      <c r="L77" s="7"/>
      <c r="M77" s="7" t="s">
        <v>302</v>
      </c>
      <c r="N77" s="7" t="s">
        <v>47</v>
      </c>
      <c r="O77" s="8">
        <v>10551480</v>
      </c>
      <c r="P77" s="8">
        <v>0</v>
      </c>
      <c r="Q77" s="8">
        <v>4338518</v>
      </c>
      <c r="R77" s="8">
        <v>0</v>
      </c>
      <c r="S77" s="8">
        <v>14889998</v>
      </c>
      <c r="T77" s="8">
        <v>1023484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325290</v>
      </c>
      <c r="AA77" s="8">
        <v>177191</v>
      </c>
      <c r="AB77" s="8">
        <v>0</v>
      </c>
      <c r="AC77" s="8">
        <v>0</v>
      </c>
      <c r="AD77" s="8">
        <v>0</v>
      </c>
      <c r="AE77" s="8">
        <v>0</v>
      </c>
      <c r="AF77" s="8">
        <v>16415963</v>
      </c>
      <c r="AG77" s="8">
        <v>297800</v>
      </c>
      <c r="AH77" s="8">
        <v>0</v>
      </c>
      <c r="AI77" s="8">
        <v>110863</v>
      </c>
      <c r="AJ77" s="8">
        <v>0</v>
      </c>
      <c r="AK77" s="8">
        <v>984958</v>
      </c>
      <c r="AL77" s="8">
        <v>0</v>
      </c>
      <c r="AM77" s="8">
        <v>177191</v>
      </c>
      <c r="AN77" s="8">
        <v>0</v>
      </c>
      <c r="AO77" s="8">
        <v>0</v>
      </c>
      <c r="AP77" s="8">
        <v>35500</v>
      </c>
      <c r="AQ77" s="8">
        <v>0</v>
      </c>
      <c r="AR77" s="8">
        <v>-140000</v>
      </c>
      <c r="AS77" s="8">
        <v>1978770</v>
      </c>
      <c r="AT77" s="8">
        <v>0</v>
      </c>
      <c r="AU77" s="8">
        <v>3445082</v>
      </c>
      <c r="AV77" s="8">
        <v>0</v>
      </c>
      <c r="AW77" s="8">
        <v>12970881</v>
      </c>
    </row>
    <row r="78" spans="1:49">
      <c r="A78" s="15">
        <f t="shared" si="3"/>
        <v>51</v>
      </c>
      <c r="B78" s="16" t="s">
        <v>123</v>
      </c>
      <c r="C78" s="10">
        <v>46082</v>
      </c>
      <c r="D78" s="7" t="s">
        <v>57</v>
      </c>
      <c r="E78" s="7" t="s">
        <v>98</v>
      </c>
      <c r="F78" s="7">
        <v>600000</v>
      </c>
      <c r="G78" s="7" t="s">
        <v>299</v>
      </c>
      <c r="H78" s="7">
        <v>711</v>
      </c>
      <c r="I78" s="7" t="s">
        <v>182</v>
      </c>
      <c r="J78" s="7" t="s">
        <v>455</v>
      </c>
      <c r="K78" s="7" t="s">
        <v>303</v>
      </c>
      <c r="L78" s="7"/>
      <c r="M78" s="7" t="s">
        <v>304</v>
      </c>
      <c r="N78" s="7" t="s">
        <v>47</v>
      </c>
      <c r="O78" s="8">
        <v>8612764</v>
      </c>
      <c r="P78" s="8">
        <v>0</v>
      </c>
      <c r="Q78" s="8">
        <v>2009942</v>
      </c>
      <c r="R78" s="8">
        <v>0</v>
      </c>
      <c r="S78" s="8">
        <v>10622706</v>
      </c>
      <c r="T78" s="8">
        <v>874588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302055</v>
      </c>
      <c r="AA78" s="8">
        <v>551318</v>
      </c>
      <c r="AB78" s="8">
        <v>0</v>
      </c>
      <c r="AC78" s="8">
        <v>0</v>
      </c>
      <c r="AD78" s="8">
        <v>0</v>
      </c>
      <c r="AE78" s="8">
        <v>0</v>
      </c>
      <c r="AF78" s="8">
        <v>12350667</v>
      </c>
      <c r="AG78" s="8">
        <v>212454</v>
      </c>
      <c r="AH78" s="8">
        <v>106227</v>
      </c>
      <c r="AI78" s="8">
        <v>106227</v>
      </c>
      <c r="AJ78" s="8">
        <v>0</v>
      </c>
      <c r="AK78" s="8">
        <v>370520</v>
      </c>
      <c r="AL78" s="8">
        <v>0</v>
      </c>
      <c r="AM78" s="8">
        <v>551318</v>
      </c>
      <c r="AN78" s="8">
        <v>0</v>
      </c>
      <c r="AO78" s="8">
        <v>0</v>
      </c>
      <c r="AP78" s="8">
        <v>35500</v>
      </c>
      <c r="AQ78" s="8">
        <v>0</v>
      </c>
      <c r="AR78" s="8">
        <v>0</v>
      </c>
      <c r="AS78" s="8">
        <v>0</v>
      </c>
      <c r="AT78" s="8">
        <v>0</v>
      </c>
      <c r="AU78" s="8">
        <v>1382246</v>
      </c>
      <c r="AV78" s="8">
        <v>0</v>
      </c>
      <c r="AW78" s="8">
        <v>10968421</v>
      </c>
    </row>
    <row r="79" spans="1:49">
      <c r="A79" s="15">
        <f t="shared" si="3"/>
        <v>52</v>
      </c>
      <c r="B79" s="16" t="s">
        <v>123</v>
      </c>
      <c r="C79" s="10">
        <v>46082</v>
      </c>
      <c r="D79" s="7" t="s">
        <v>57</v>
      </c>
      <c r="E79" s="7" t="s">
        <v>98</v>
      </c>
      <c r="F79" s="7">
        <v>600000</v>
      </c>
      <c r="G79" s="7" t="s">
        <v>299</v>
      </c>
      <c r="H79" s="7">
        <v>711</v>
      </c>
      <c r="I79" s="7" t="s">
        <v>182</v>
      </c>
      <c r="J79" s="7" t="s">
        <v>455</v>
      </c>
      <c r="K79" s="7" t="s">
        <v>305</v>
      </c>
      <c r="L79" s="7"/>
      <c r="M79" s="7" t="s">
        <v>306</v>
      </c>
      <c r="N79" s="7" t="s">
        <v>47</v>
      </c>
      <c r="O79" s="8">
        <v>5031315</v>
      </c>
      <c r="P79" s="8">
        <v>0</v>
      </c>
      <c r="Q79" s="8">
        <v>1235410</v>
      </c>
      <c r="R79" s="8">
        <v>0</v>
      </c>
      <c r="S79" s="8">
        <v>6266725</v>
      </c>
      <c r="T79" s="8">
        <v>1023484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325290</v>
      </c>
      <c r="AA79" s="8">
        <v>325243</v>
      </c>
      <c r="AB79" s="8">
        <v>0</v>
      </c>
      <c r="AC79" s="8">
        <v>0</v>
      </c>
      <c r="AD79" s="8">
        <v>0</v>
      </c>
      <c r="AE79" s="8">
        <v>0</v>
      </c>
      <c r="AF79" s="8">
        <v>7940742</v>
      </c>
      <c r="AG79" s="8">
        <v>125335</v>
      </c>
      <c r="AH79" s="8">
        <v>62667</v>
      </c>
      <c r="AI79" s="8">
        <v>62667</v>
      </c>
      <c r="AJ79" s="8">
        <v>0</v>
      </c>
      <c r="AK79" s="8">
        <v>79407</v>
      </c>
      <c r="AL79" s="8">
        <v>0</v>
      </c>
      <c r="AM79" s="8">
        <v>325243</v>
      </c>
      <c r="AN79" s="8">
        <v>0</v>
      </c>
      <c r="AO79" s="8">
        <v>0</v>
      </c>
      <c r="AP79" s="8">
        <v>35500</v>
      </c>
      <c r="AQ79" s="8">
        <v>0</v>
      </c>
      <c r="AR79" s="8">
        <v>0</v>
      </c>
      <c r="AS79" s="8">
        <v>0</v>
      </c>
      <c r="AT79" s="8">
        <v>0</v>
      </c>
      <c r="AU79" s="8">
        <v>690819</v>
      </c>
      <c r="AV79" s="8">
        <v>0</v>
      </c>
      <c r="AW79" s="8">
        <v>7249923</v>
      </c>
    </row>
    <row r="80" spans="1:49">
      <c r="A80" s="15">
        <f t="shared" si="3"/>
        <v>53</v>
      </c>
      <c r="B80" s="16" t="s">
        <v>123</v>
      </c>
      <c r="C80" s="10">
        <v>46082</v>
      </c>
      <c r="D80" s="7" t="s">
        <v>57</v>
      </c>
      <c r="E80" s="7" t="s">
        <v>98</v>
      </c>
      <c r="F80" s="7">
        <v>600000</v>
      </c>
      <c r="G80" s="7" t="s">
        <v>299</v>
      </c>
      <c r="H80" s="7">
        <v>711</v>
      </c>
      <c r="I80" s="7" t="s">
        <v>182</v>
      </c>
      <c r="J80" s="7" t="s">
        <v>455</v>
      </c>
      <c r="K80" s="7" t="s">
        <v>307</v>
      </c>
      <c r="L80" s="7"/>
      <c r="M80" s="7" t="s">
        <v>308</v>
      </c>
      <c r="N80" s="7" t="s">
        <v>67</v>
      </c>
      <c r="O80" s="8">
        <v>8727020</v>
      </c>
      <c r="P80" s="8">
        <v>0</v>
      </c>
      <c r="Q80" s="8">
        <v>2809006</v>
      </c>
      <c r="R80" s="8">
        <v>0</v>
      </c>
      <c r="S80" s="8">
        <v>11536026</v>
      </c>
      <c r="T80" s="8">
        <v>787304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325290</v>
      </c>
      <c r="AA80" s="8">
        <v>598720</v>
      </c>
      <c r="AB80" s="8">
        <v>0</v>
      </c>
      <c r="AC80" s="8">
        <v>0</v>
      </c>
      <c r="AD80" s="8">
        <v>0</v>
      </c>
      <c r="AE80" s="8">
        <v>0</v>
      </c>
      <c r="AF80" s="8">
        <v>13247340</v>
      </c>
      <c r="AG80" s="8">
        <v>230721</v>
      </c>
      <c r="AH80" s="8">
        <v>115360</v>
      </c>
      <c r="AI80" s="8">
        <v>110863</v>
      </c>
      <c r="AJ80" s="8">
        <v>0</v>
      </c>
      <c r="AK80" s="8">
        <v>529894</v>
      </c>
      <c r="AL80" s="8">
        <v>0</v>
      </c>
      <c r="AM80" s="8">
        <v>598720</v>
      </c>
      <c r="AN80" s="8">
        <v>0</v>
      </c>
      <c r="AO80" s="8">
        <v>0</v>
      </c>
      <c r="AP80" s="8">
        <v>0</v>
      </c>
      <c r="AQ80" s="8">
        <v>0</v>
      </c>
      <c r="AR80" s="8">
        <v>0</v>
      </c>
      <c r="AS80" s="8">
        <v>0</v>
      </c>
      <c r="AT80" s="8">
        <v>0</v>
      </c>
      <c r="AU80" s="8">
        <v>1585558</v>
      </c>
      <c r="AV80" s="8">
        <v>0</v>
      </c>
      <c r="AW80" s="8">
        <v>11661782</v>
      </c>
    </row>
    <row r="81" spans="1:49">
      <c r="A81" s="15">
        <f t="shared" si="3"/>
        <v>54</v>
      </c>
      <c r="B81" s="16" t="s">
        <v>123</v>
      </c>
      <c r="C81" s="10">
        <v>46082</v>
      </c>
      <c r="D81" s="7" t="s">
        <v>57</v>
      </c>
      <c r="E81" s="7" t="s">
        <v>98</v>
      </c>
      <c r="F81" s="7">
        <v>600000</v>
      </c>
      <c r="G81" s="7" t="s">
        <v>299</v>
      </c>
      <c r="H81" s="7">
        <v>711</v>
      </c>
      <c r="I81" s="7" t="s">
        <v>182</v>
      </c>
      <c r="J81" s="7" t="s">
        <v>455</v>
      </c>
      <c r="K81" s="7" t="s">
        <v>309</v>
      </c>
      <c r="L81" s="7"/>
      <c r="M81" s="7" t="s">
        <v>310</v>
      </c>
      <c r="N81" s="7" t="s">
        <v>67</v>
      </c>
      <c r="O81" s="8">
        <v>4883125</v>
      </c>
      <c r="P81" s="8">
        <v>0</v>
      </c>
      <c r="Q81" s="8">
        <v>1627708</v>
      </c>
      <c r="R81" s="8">
        <v>0</v>
      </c>
      <c r="S81" s="8">
        <v>6510833</v>
      </c>
      <c r="T81" s="8">
        <v>787304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325290</v>
      </c>
      <c r="AA81" s="8">
        <v>337911</v>
      </c>
      <c r="AB81" s="8">
        <v>0</v>
      </c>
      <c r="AC81" s="8">
        <v>0</v>
      </c>
      <c r="AD81" s="8">
        <v>0</v>
      </c>
      <c r="AE81" s="8">
        <v>0</v>
      </c>
      <c r="AF81" s="8">
        <v>7961338</v>
      </c>
      <c r="AG81" s="8">
        <v>130217</v>
      </c>
      <c r="AH81" s="8">
        <v>65108</v>
      </c>
      <c r="AI81" s="8">
        <v>65108</v>
      </c>
      <c r="AJ81" s="8">
        <v>0</v>
      </c>
      <c r="AK81" s="8">
        <v>79613</v>
      </c>
      <c r="AL81" s="8">
        <v>0</v>
      </c>
      <c r="AM81" s="8">
        <v>337911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677957</v>
      </c>
      <c r="AV81" s="8">
        <v>0</v>
      </c>
      <c r="AW81" s="8">
        <v>7283381</v>
      </c>
    </row>
    <row r="82" spans="1:49">
      <c r="A82" s="15">
        <f t="shared" si="3"/>
        <v>55</v>
      </c>
      <c r="B82" s="16" t="s">
        <v>123</v>
      </c>
      <c r="C82" s="10">
        <v>46082</v>
      </c>
      <c r="D82" s="7" t="s">
        <v>57</v>
      </c>
      <c r="E82" s="7" t="s">
        <v>98</v>
      </c>
      <c r="F82" s="7">
        <v>600000</v>
      </c>
      <c r="G82" s="7" t="s">
        <v>299</v>
      </c>
      <c r="H82" s="7">
        <v>711</v>
      </c>
      <c r="I82" s="7" t="s">
        <v>182</v>
      </c>
      <c r="J82" s="7" t="s">
        <v>455</v>
      </c>
      <c r="K82" s="7" t="s">
        <v>311</v>
      </c>
      <c r="L82" s="7"/>
      <c r="M82" s="7" t="s">
        <v>312</v>
      </c>
      <c r="N82" s="7" t="s">
        <v>47</v>
      </c>
      <c r="O82" s="8">
        <v>5198405</v>
      </c>
      <c r="P82" s="8">
        <v>0</v>
      </c>
      <c r="Q82" s="8">
        <v>688448</v>
      </c>
      <c r="R82" s="8">
        <v>0</v>
      </c>
      <c r="S82" s="8">
        <v>5886853</v>
      </c>
      <c r="T82" s="8">
        <v>728819</v>
      </c>
      <c r="U82" s="8">
        <v>0</v>
      </c>
      <c r="V82" s="8">
        <v>0</v>
      </c>
      <c r="W82" s="8">
        <v>0</v>
      </c>
      <c r="X82" s="8">
        <v>80000</v>
      </c>
      <c r="Y82" s="8">
        <v>0</v>
      </c>
      <c r="Z82" s="8">
        <v>302055</v>
      </c>
      <c r="AA82" s="8">
        <v>305528</v>
      </c>
      <c r="AB82" s="8">
        <v>0</v>
      </c>
      <c r="AC82" s="8">
        <v>0</v>
      </c>
      <c r="AD82" s="8">
        <v>0</v>
      </c>
      <c r="AE82" s="8">
        <v>0</v>
      </c>
      <c r="AF82" s="8">
        <v>7303255</v>
      </c>
      <c r="AG82" s="8">
        <v>117737</v>
      </c>
      <c r="AH82" s="8">
        <v>58869</v>
      </c>
      <c r="AI82" s="8">
        <v>58869</v>
      </c>
      <c r="AJ82" s="8">
        <v>0</v>
      </c>
      <c r="AK82" s="8">
        <v>91291</v>
      </c>
      <c r="AL82" s="8">
        <v>0</v>
      </c>
      <c r="AM82" s="8">
        <v>305528</v>
      </c>
      <c r="AN82" s="8">
        <v>0</v>
      </c>
      <c r="AO82" s="8">
        <v>0</v>
      </c>
      <c r="AP82" s="8">
        <v>0</v>
      </c>
      <c r="AQ82" s="8">
        <v>0</v>
      </c>
      <c r="AR82" s="8">
        <v>0</v>
      </c>
      <c r="AS82" s="8">
        <v>0</v>
      </c>
      <c r="AT82" s="8">
        <v>0</v>
      </c>
      <c r="AU82" s="8">
        <v>632294</v>
      </c>
      <c r="AV82" s="8">
        <v>0</v>
      </c>
      <c r="AW82" s="8">
        <v>6670961</v>
      </c>
    </row>
    <row r="83" spans="1:49">
      <c r="A83" s="15">
        <f t="shared" si="3"/>
        <v>56</v>
      </c>
      <c r="B83" s="16" t="s">
        <v>123</v>
      </c>
      <c r="C83" s="10">
        <v>46082</v>
      </c>
      <c r="D83" s="7" t="s">
        <v>57</v>
      </c>
      <c r="E83" s="7" t="s">
        <v>98</v>
      </c>
      <c r="F83" s="7">
        <v>600000</v>
      </c>
      <c r="G83" s="7" t="s">
        <v>299</v>
      </c>
      <c r="H83" s="7">
        <v>833</v>
      </c>
      <c r="I83" s="7" t="s">
        <v>313</v>
      </c>
      <c r="J83" s="7" t="s">
        <v>455</v>
      </c>
      <c r="K83" s="7" t="s">
        <v>314</v>
      </c>
      <c r="L83" s="7"/>
      <c r="M83" s="7" t="s">
        <v>315</v>
      </c>
      <c r="N83" s="7" t="s">
        <v>47</v>
      </c>
      <c r="O83" s="8">
        <v>8767549</v>
      </c>
      <c r="P83" s="8">
        <v>0</v>
      </c>
      <c r="Q83" s="8">
        <v>2423794</v>
      </c>
      <c r="R83" s="8">
        <v>0</v>
      </c>
      <c r="S83" s="8">
        <v>11191343</v>
      </c>
      <c r="T83" s="8">
        <v>1023484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325290</v>
      </c>
      <c r="AA83" s="8">
        <v>133177</v>
      </c>
      <c r="AB83" s="8">
        <v>0</v>
      </c>
      <c r="AC83" s="8">
        <v>0</v>
      </c>
      <c r="AD83" s="8">
        <v>0</v>
      </c>
      <c r="AE83" s="8">
        <v>0</v>
      </c>
      <c r="AF83" s="8">
        <v>12673294</v>
      </c>
      <c r="AG83" s="8">
        <v>223827</v>
      </c>
      <c r="AH83" s="8">
        <v>0</v>
      </c>
      <c r="AI83" s="8">
        <v>110863</v>
      </c>
      <c r="AJ83" s="8">
        <v>0</v>
      </c>
      <c r="AK83" s="8">
        <v>506932</v>
      </c>
      <c r="AL83" s="8">
        <v>0</v>
      </c>
      <c r="AM83" s="8">
        <v>133177</v>
      </c>
      <c r="AN83" s="8">
        <v>0</v>
      </c>
      <c r="AO83" s="8">
        <v>0</v>
      </c>
      <c r="AP83" s="8">
        <v>35500</v>
      </c>
      <c r="AQ83" s="8">
        <v>0</v>
      </c>
      <c r="AR83" s="8">
        <v>-98000</v>
      </c>
      <c r="AS83" s="8">
        <v>0</v>
      </c>
      <c r="AT83" s="8">
        <v>0</v>
      </c>
      <c r="AU83" s="8">
        <v>912299</v>
      </c>
      <c r="AV83" s="8">
        <v>0</v>
      </c>
      <c r="AW83" s="8">
        <v>11760995</v>
      </c>
    </row>
    <row r="84" spans="1:49">
      <c r="A84" s="15">
        <f t="shared" si="3"/>
        <v>57</v>
      </c>
      <c r="B84" s="16" t="s">
        <v>123</v>
      </c>
      <c r="C84" s="10">
        <v>46082</v>
      </c>
      <c r="D84" s="7" t="s">
        <v>57</v>
      </c>
      <c r="E84" s="7" t="s">
        <v>98</v>
      </c>
      <c r="F84" s="7">
        <v>700000</v>
      </c>
      <c r="G84" s="7" t="s">
        <v>153</v>
      </c>
      <c r="H84" s="7">
        <v>501</v>
      </c>
      <c r="I84" s="7" t="s">
        <v>316</v>
      </c>
      <c r="J84" s="7" t="s">
        <v>455</v>
      </c>
      <c r="K84" s="7" t="s">
        <v>317</v>
      </c>
      <c r="L84" s="7"/>
      <c r="M84" s="7" t="s">
        <v>318</v>
      </c>
      <c r="N84" s="7" t="s">
        <v>67</v>
      </c>
      <c r="O84" s="8">
        <v>5944250</v>
      </c>
      <c r="P84" s="8">
        <v>0</v>
      </c>
      <c r="Q84" s="8">
        <v>1314750</v>
      </c>
      <c r="R84" s="8">
        <v>0</v>
      </c>
      <c r="S84" s="8">
        <v>7259000</v>
      </c>
      <c r="T84" s="8">
        <v>1023484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325290</v>
      </c>
      <c r="AA84" s="8">
        <v>86382</v>
      </c>
      <c r="AB84" s="8">
        <v>0</v>
      </c>
      <c r="AC84" s="8">
        <v>0</v>
      </c>
      <c r="AD84" s="8">
        <v>0</v>
      </c>
      <c r="AE84" s="8">
        <v>0</v>
      </c>
      <c r="AF84" s="8">
        <v>8694156</v>
      </c>
      <c r="AG84" s="8">
        <v>145180</v>
      </c>
      <c r="AH84" s="8">
        <v>0</v>
      </c>
      <c r="AI84" s="8">
        <v>72590</v>
      </c>
      <c r="AJ84" s="8">
        <v>0</v>
      </c>
      <c r="AK84" s="8">
        <v>152148</v>
      </c>
      <c r="AL84" s="8">
        <v>0</v>
      </c>
      <c r="AM84" s="8">
        <v>86382</v>
      </c>
      <c r="AN84" s="8">
        <v>0</v>
      </c>
      <c r="AO84" s="8">
        <v>0</v>
      </c>
      <c r="AP84" s="8">
        <v>0</v>
      </c>
      <c r="AQ84" s="8">
        <v>0</v>
      </c>
      <c r="AR84" s="8">
        <v>0</v>
      </c>
      <c r="AS84" s="8">
        <v>0</v>
      </c>
      <c r="AT84" s="8">
        <v>0</v>
      </c>
      <c r="AU84" s="8">
        <v>456300</v>
      </c>
      <c r="AV84" s="8">
        <v>0</v>
      </c>
      <c r="AW84" s="8">
        <v>8237856</v>
      </c>
    </row>
    <row r="85" spans="1:49">
      <c r="A85" s="15">
        <f t="shared" si="3"/>
        <v>58</v>
      </c>
      <c r="B85" s="16" t="s">
        <v>123</v>
      </c>
      <c r="C85" s="10">
        <v>46082</v>
      </c>
      <c r="D85" s="7" t="s">
        <v>57</v>
      </c>
      <c r="E85" s="7" t="s">
        <v>98</v>
      </c>
      <c r="F85" s="7">
        <v>700000</v>
      </c>
      <c r="G85" s="7" t="s">
        <v>153</v>
      </c>
      <c r="H85" s="7">
        <v>501</v>
      </c>
      <c r="I85" s="7" t="s">
        <v>316</v>
      </c>
      <c r="J85" s="7" t="s">
        <v>455</v>
      </c>
      <c r="K85" s="7" t="s">
        <v>319</v>
      </c>
      <c r="L85" s="7"/>
      <c r="M85" s="7" t="s">
        <v>320</v>
      </c>
      <c r="N85" s="7" t="s">
        <v>47</v>
      </c>
      <c r="O85" s="8">
        <v>10492500</v>
      </c>
      <c r="P85" s="8">
        <v>0</v>
      </c>
      <c r="Q85" s="8">
        <v>2247500</v>
      </c>
      <c r="R85" s="8">
        <v>0</v>
      </c>
      <c r="S85" s="8">
        <v>12740000</v>
      </c>
      <c r="T85" s="8">
        <v>1023484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325290</v>
      </c>
      <c r="AA85" s="8">
        <v>151606</v>
      </c>
      <c r="AB85" s="8">
        <v>0</v>
      </c>
      <c r="AC85" s="8">
        <v>0</v>
      </c>
      <c r="AD85" s="8">
        <v>0</v>
      </c>
      <c r="AE85" s="8">
        <v>0</v>
      </c>
      <c r="AF85" s="8">
        <v>14240380</v>
      </c>
      <c r="AG85" s="8">
        <v>254800</v>
      </c>
      <c r="AH85" s="8">
        <v>0</v>
      </c>
      <c r="AI85" s="8">
        <v>110863</v>
      </c>
      <c r="AJ85" s="8">
        <v>0</v>
      </c>
      <c r="AK85" s="8">
        <v>712019</v>
      </c>
      <c r="AL85" s="8">
        <v>0</v>
      </c>
      <c r="AM85" s="8">
        <v>151606</v>
      </c>
      <c r="AN85" s="8">
        <v>0</v>
      </c>
      <c r="AO85" s="8">
        <v>0</v>
      </c>
      <c r="AP85" s="8">
        <v>0</v>
      </c>
      <c r="AQ85" s="8">
        <v>0</v>
      </c>
      <c r="AR85" s="8">
        <v>0</v>
      </c>
      <c r="AS85" s="8">
        <v>0</v>
      </c>
      <c r="AT85" s="8">
        <v>0</v>
      </c>
      <c r="AU85" s="8">
        <v>1229288</v>
      </c>
      <c r="AV85" s="8">
        <v>0</v>
      </c>
      <c r="AW85" s="8">
        <v>13011092</v>
      </c>
    </row>
    <row r="86" spans="1:49">
      <c r="A86" s="15">
        <f t="shared" si="3"/>
        <v>59</v>
      </c>
      <c r="B86" s="16" t="s">
        <v>123</v>
      </c>
      <c r="C86" s="10">
        <v>46082</v>
      </c>
      <c r="D86" s="7" t="s">
        <v>57</v>
      </c>
      <c r="E86" s="7" t="s">
        <v>98</v>
      </c>
      <c r="F86" s="7">
        <v>700000</v>
      </c>
      <c r="G86" s="7" t="s">
        <v>153</v>
      </c>
      <c r="H86" s="7">
        <v>501</v>
      </c>
      <c r="I86" s="7" t="s">
        <v>316</v>
      </c>
      <c r="J86" s="7" t="s">
        <v>455</v>
      </c>
      <c r="K86" s="7" t="s">
        <v>321</v>
      </c>
      <c r="L86" s="7"/>
      <c r="M86" s="7" t="s">
        <v>322</v>
      </c>
      <c r="N86" s="7" t="s">
        <v>67</v>
      </c>
      <c r="O86" s="8">
        <v>7500000</v>
      </c>
      <c r="P86" s="8">
        <v>0</v>
      </c>
      <c r="Q86" s="8">
        <v>2500000</v>
      </c>
      <c r="R86" s="8">
        <v>0</v>
      </c>
      <c r="S86" s="8">
        <v>10000000</v>
      </c>
      <c r="T86" s="8">
        <v>1096590</v>
      </c>
      <c r="U86" s="8">
        <v>0</v>
      </c>
      <c r="V86" s="8">
        <v>0</v>
      </c>
      <c r="W86" s="8">
        <v>225000</v>
      </c>
      <c r="X86" s="8">
        <v>0</v>
      </c>
      <c r="Y86" s="8">
        <v>0</v>
      </c>
      <c r="Z86" s="8">
        <v>348525</v>
      </c>
      <c r="AA86" s="8">
        <v>119000</v>
      </c>
      <c r="AB86" s="8">
        <v>0</v>
      </c>
      <c r="AC86" s="8">
        <v>0</v>
      </c>
      <c r="AD86" s="8">
        <v>0</v>
      </c>
      <c r="AE86" s="8">
        <v>0</v>
      </c>
      <c r="AF86" s="8">
        <v>11789115</v>
      </c>
      <c r="AG86" s="8">
        <v>200000</v>
      </c>
      <c r="AH86" s="8">
        <v>0</v>
      </c>
      <c r="AI86" s="8">
        <v>100000</v>
      </c>
      <c r="AJ86" s="8">
        <v>0</v>
      </c>
      <c r="AK86" s="8">
        <v>471565</v>
      </c>
      <c r="AL86" s="8">
        <v>0</v>
      </c>
      <c r="AM86" s="8">
        <v>119000</v>
      </c>
      <c r="AN86" s="8">
        <v>0</v>
      </c>
      <c r="AO86" s="8">
        <v>0</v>
      </c>
      <c r="AP86" s="8">
        <v>0</v>
      </c>
      <c r="AQ86" s="8">
        <v>0</v>
      </c>
      <c r="AR86" s="8">
        <v>0</v>
      </c>
      <c r="AS86" s="8">
        <v>0</v>
      </c>
      <c r="AT86" s="8">
        <v>0</v>
      </c>
      <c r="AU86" s="8">
        <v>890565</v>
      </c>
      <c r="AV86" s="8">
        <v>0</v>
      </c>
      <c r="AW86" s="8">
        <v>10898550</v>
      </c>
    </row>
    <row r="87" spans="1:49">
      <c r="A87" s="15">
        <f t="shared" si="3"/>
        <v>60</v>
      </c>
      <c r="B87" s="16" t="s">
        <v>123</v>
      </c>
      <c r="C87" s="10">
        <v>46082</v>
      </c>
      <c r="D87" s="7" t="s">
        <v>57</v>
      </c>
      <c r="E87" s="7" t="s">
        <v>98</v>
      </c>
      <c r="F87" s="7">
        <v>700000</v>
      </c>
      <c r="G87" s="7" t="s">
        <v>153</v>
      </c>
      <c r="H87" s="7">
        <v>712</v>
      </c>
      <c r="I87" s="7" t="s">
        <v>323</v>
      </c>
      <c r="J87" s="7" t="s">
        <v>455</v>
      </c>
      <c r="K87" s="7" t="s">
        <v>324</v>
      </c>
      <c r="L87" s="7"/>
      <c r="M87" s="7" t="s">
        <v>325</v>
      </c>
      <c r="N87" s="7" t="s">
        <v>67</v>
      </c>
      <c r="O87" s="8">
        <v>4297407</v>
      </c>
      <c r="P87" s="8">
        <v>0</v>
      </c>
      <c r="Q87" s="8">
        <v>1432469</v>
      </c>
      <c r="R87" s="8">
        <v>0</v>
      </c>
      <c r="S87" s="8">
        <v>5729876</v>
      </c>
      <c r="T87" s="8">
        <v>956012</v>
      </c>
      <c r="U87" s="8">
        <v>0</v>
      </c>
      <c r="V87" s="8">
        <v>0</v>
      </c>
      <c r="W87" s="8">
        <v>300000</v>
      </c>
      <c r="X87" s="8">
        <v>100000</v>
      </c>
      <c r="Y87" s="8">
        <v>0</v>
      </c>
      <c r="Z87" s="8">
        <v>394995</v>
      </c>
      <c r="AA87" s="8">
        <v>297381</v>
      </c>
      <c r="AB87" s="8">
        <v>0</v>
      </c>
      <c r="AC87" s="8">
        <v>0</v>
      </c>
      <c r="AD87" s="8">
        <v>0</v>
      </c>
      <c r="AE87" s="8">
        <v>0</v>
      </c>
      <c r="AF87" s="8">
        <v>7778264</v>
      </c>
      <c r="AG87" s="8">
        <v>114598</v>
      </c>
      <c r="AH87" s="8">
        <v>57299</v>
      </c>
      <c r="AI87" s="8">
        <v>57299</v>
      </c>
      <c r="AJ87" s="8">
        <v>0</v>
      </c>
      <c r="AK87" s="8">
        <v>116674</v>
      </c>
      <c r="AL87" s="8">
        <v>0</v>
      </c>
      <c r="AM87" s="8">
        <v>297381</v>
      </c>
      <c r="AN87" s="8">
        <v>0</v>
      </c>
      <c r="AO87" s="8">
        <v>0</v>
      </c>
      <c r="AP87" s="8">
        <v>0</v>
      </c>
      <c r="AQ87" s="8">
        <v>0</v>
      </c>
      <c r="AR87" s="8">
        <v>0</v>
      </c>
      <c r="AS87" s="8">
        <v>0</v>
      </c>
      <c r="AT87" s="8">
        <v>0</v>
      </c>
      <c r="AU87" s="8">
        <v>643251</v>
      </c>
      <c r="AV87" s="8">
        <v>0</v>
      </c>
      <c r="AW87" s="8">
        <v>7135013</v>
      </c>
    </row>
    <row r="88" spans="1:49">
      <c r="A88" s="15">
        <f t="shared" si="3"/>
        <v>61</v>
      </c>
      <c r="B88" s="16" t="s">
        <v>123</v>
      </c>
      <c r="C88" s="10">
        <v>46082</v>
      </c>
      <c r="D88" s="7" t="s">
        <v>57</v>
      </c>
      <c r="E88" s="7" t="s">
        <v>98</v>
      </c>
      <c r="F88" s="7">
        <v>700000</v>
      </c>
      <c r="G88" s="7" t="s">
        <v>153</v>
      </c>
      <c r="H88" s="7">
        <v>713</v>
      </c>
      <c r="I88" s="7" t="s">
        <v>326</v>
      </c>
      <c r="J88" s="7" t="s">
        <v>455</v>
      </c>
      <c r="K88" s="7" t="s">
        <v>327</v>
      </c>
      <c r="L88" s="7"/>
      <c r="M88" s="7" t="s">
        <v>328</v>
      </c>
      <c r="N88" s="7" t="s">
        <v>47</v>
      </c>
      <c r="O88" s="8">
        <v>6904654</v>
      </c>
      <c r="P88" s="8">
        <v>0</v>
      </c>
      <c r="Q88" s="8">
        <v>2090024</v>
      </c>
      <c r="R88" s="8">
        <v>865000</v>
      </c>
      <c r="S88" s="8">
        <v>9859678</v>
      </c>
      <c r="T88" s="8">
        <v>1096590</v>
      </c>
      <c r="U88" s="8">
        <v>0</v>
      </c>
      <c r="V88" s="8">
        <v>0</v>
      </c>
      <c r="W88" s="8">
        <v>100000</v>
      </c>
      <c r="X88" s="8">
        <v>50000</v>
      </c>
      <c r="Y88" s="8">
        <v>0</v>
      </c>
      <c r="Z88" s="8">
        <v>348525</v>
      </c>
      <c r="AA88" s="8">
        <v>117330</v>
      </c>
      <c r="AB88" s="8">
        <v>0</v>
      </c>
      <c r="AC88" s="8">
        <v>0</v>
      </c>
      <c r="AD88" s="8">
        <v>0</v>
      </c>
      <c r="AE88" s="8">
        <v>0</v>
      </c>
      <c r="AF88" s="8">
        <v>11572123</v>
      </c>
      <c r="AG88" s="8">
        <v>197194</v>
      </c>
      <c r="AH88" s="8">
        <v>0</v>
      </c>
      <c r="AI88" s="8">
        <v>98597</v>
      </c>
      <c r="AJ88" s="8">
        <v>0</v>
      </c>
      <c r="AK88" s="8">
        <v>405024</v>
      </c>
      <c r="AL88" s="8">
        <v>0</v>
      </c>
      <c r="AM88" s="8">
        <v>117330</v>
      </c>
      <c r="AN88" s="8">
        <v>0</v>
      </c>
      <c r="AO88" s="8">
        <v>0</v>
      </c>
      <c r="AP88" s="8">
        <v>0</v>
      </c>
      <c r="AQ88" s="8">
        <v>0</v>
      </c>
      <c r="AR88" s="8">
        <v>0</v>
      </c>
      <c r="AS88" s="8">
        <v>0</v>
      </c>
      <c r="AT88" s="8">
        <v>0</v>
      </c>
      <c r="AU88" s="8">
        <v>818145</v>
      </c>
      <c r="AV88" s="8">
        <v>0</v>
      </c>
      <c r="AW88" s="8">
        <v>10753978</v>
      </c>
    </row>
    <row r="89" spans="1:49">
      <c r="A89" s="15">
        <f t="shared" si="3"/>
        <v>62</v>
      </c>
      <c r="B89" s="16" t="s">
        <v>123</v>
      </c>
      <c r="C89" s="10">
        <v>46082</v>
      </c>
      <c r="D89" s="7" t="s">
        <v>57</v>
      </c>
      <c r="E89" s="7" t="s">
        <v>98</v>
      </c>
      <c r="F89" s="7">
        <v>700000</v>
      </c>
      <c r="G89" s="7" t="s">
        <v>153</v>
      </c>
      <c r="H89" s="7">
        <v>828</v>
      </c>
      <c r="I89" s="7" t="s">
        <v>329</v>
      </c>
      <c r="J89" s="7" t="s">
        <v>455</v>
      </c>
      <c r="K89" s="7" t="s">
        <v>330</v>
      </c>
      <c r="L89" s="7"/>
      <c r="M89" s="7" t="s">
        <v>331</v>
      </c>
      <c r="N89" s="7" t="s">
        <v>67</v>
      </c>
      <c r="O89" s="8">
        <v>8250000</v>
      </c>
      <c r="P89" s="8">
        <v>0</v>
      </c>
      <c r="Q89" s="8">
        <v>2750000</v>
      </c>
      <c r="R89" s="8">
        <v>0</v>
      </c>
      <c r="S89" s="8">
        <v>11000000</v>
      </c>
      <c r="T89" s="8">
        <v>2116928</v>
      </c>
      <c r="U89" s="8">
        <v>0</v>
      </c>
      <c r="V89" s="8">
        <v>0</v>
      </c>
      <c r="W89" s="8">
        <v>450000</v>
      </c>
      <c r="X89" s="8">
        <v>0</v>
      </c>
      <c r="Y89" s="8">
        <v>0</v>
      </c>
      <c r="Z89" s="8">
        <v>371760</v>
      </c>
      <c r="AA89" s="8">
        <v>130900</v>
      </c>
      <c r="AB89" s="8">
        <v>0</v>
      </c>
      <c r="AC89" s="8">
        <v>0</v>
      </c>
      <c r="AD89" s="8">
        <v>0</v>
      </c>
      <c r="AE89" s="8">
        <v>0</v>
      </c>
      <c r="AF89" s="8">
        <v>14069588</v>
      </c>
      <c r="AG89" s="8">
        <v>220000</v>
      </c>
      <c r="AH89" s="8">
        <v>0</v>
      </c>
      <c r="AI89" s="8">
        <v>110000</v>
      </c>
      <c r="AJ89" s="8">
        <v>0</v>
      </c>
      <c r="AK89" s="8">
        <v>703479</v>
      </c>
      <c r="AL89" s="8">
        <v>0</v>
      </c>
      <c r="AM89" s="8">
        <v>130900</v>
      </c>
      <c r="AN89" s="8">
        <v>0</v>
      </c>
      <c r="AO89" s="8">
        <v>0</v>
      </c>
      <c r="AP89" s="8">
        <v>0</v>
      </c>
      <c r="AQ89" s="8">
        <v>0</v>
      </c>
      <c r="AR89" s="8">
        <v>0</v>
      </c>
      <c r="AS89" s="8">
        <v>0</v>
      </c>
      <c r="AT89" s="8">
        <v>0</v>
      </c>
      <c r="AU89" s="8">
        <v>1164379</v>
      </c>
      <c r="AV89" s="8">
        <v>0</v>
      </c>
      <c r="AW89" s="8">
        <v>12905209</v>
      </c>
    </row>
    <row r="90" spans="1:49">
      <c r="A90" s="15">
        <f t="shared" si="3"/>
        <v>63</v>
      </c>
      <c r="B90" s="16" t="s">
        <v>123</v>
      </c>
      <c r="C90" s="10">
        <v>46082</v>
      </c>
      <c r="D90" s="7" t="s">
        <v>57</v>
      </c>
      <c r="E90" s="7" t="s">
        <v>98</v>
      </c>
      <c r="F90" s="7">
        <v>800000</v>
      </c>
      <c r="G90" s="7" t="s">
        <v>332</v>
      </c>
      <c r="H90" s="7">
        <v>520</v>
      </c>
      <c r="I90" s="7" t="s">
        <v>333</v>
      </c>
      <c r="J90" s="7" t="s">
        <v>455</v>
      </c>
      <c r="K90" s="7" t="s">
        <v>334</v>
      </c>
      <c r="L90" s="7"/>
      <c r="M90" s="7" t="s">
        <v>335</v>
      </c>
      <c r="N90" s="7" t="s">
        <v>47</v>
      </c>
      <c r="O90" s="8">
        <v>8811339</v>
      </c>
      <c r="P90" s="8">
        <v>0</v>
      </c>
      <c r="Q90" s="8">
        <v>2711714</v>
      </c>
      <c r="R90" s="8">
        <v>0</v>
      </c>
      <c r="S90" s="8">
        <v>11523053</v>
      </c>
      <c r="T90" s="8">
        <v>2116928</v>
      </c>
      <c r="U90" s="8">
        <v>0</v>
      </c>
      <c r="V90" s="8">
        <v>0</v>
      </c>
      <c r="W90" s="8">
        <v>450000</v>
      </c>
      <c r="X90" s="8">
        <v>0</v>
      </c>
      <c r="Y90" s="8">
        <v>0</v>
      </c>
      <c r="Z90" s="8">
        <v>371760</v>
      </c>
      <c r="AA90" s="8">
        <v>137124</v>
      </c>
      <c r="AB90" s="8">
        <v>0</v>
      </c>
      <c r="AC90" s="8">
        <v>0</v>
      </c>
      <c r="AD90" s="8">
        <v>0</v>
      </c>
      <c r="AE90" s="8">
        <v>0</v>
      </c>
      <c r="AF90" s="8">
        <v>14598865</v>
      </c>
      <c r="AG90" s="8">
        <v>230461</v>
      </c>
      <c r="AH90" s="8">
        <v>0</v>
      </c>
      <c r="AI90" s="8">
        <v>110863</v>
      </c>
      <c r="AJ90" s="8">
        <v>0</v>
      </c>
      <c r="AK90" s="8">
        <v>729943</v>
      </c>
      <c r="AL90" s="8">
        <v>0</v>
      </c>
      <c r="AM90" s="8">
        <v>137124</v>
      </c>
      <c r="AN90" s="8">
        <v>0</v>
      </c>
      <c r="AO90" s="8">
        <v>0</v>
      </c>
      <c r="AP90" s="8">
        <v>35500</v>
      </c>
      <c r="AQ90" s="8">
        <v>0</v>
      </c>
      <c r="AR90" s="8">
        <v>0</v>
      </c>
      <c r="AS90" s="8">
        <v>0</v>
      </c>
      <c r="AT90" s="8">
        <v>0</v>
      </c>
      <c r="AU90" s="8">
        <v>1243891</v>
      </c>
      <c r="AV90" s="8">
        <v>0</v>
      </c>
      <c r="AW90" s="8">
        <v>13354974</v>
      </c>
    </row>
    <row r="91" spans="1:49">
      <c r="A91" s="15">
        <f t="shared" si="3"/>
        <v>64</v>
      </c>
      <c r="B91" s="16" t="s">
        <v>123</v>
      </c>
      <c r="C91" s="10">
        <v>46082</v>
      </c>
      <c r="D91" s="7" t="s">
        <v>57</v>
      </c>
      <c r="E91" s="7" t="s">
        <v>98</v>
      </c>
      <c r="F91" s="7">
        <v>800000</v>
      </c>
      <c r="G91" s="7" t="s">
        <v>332</v>
      </c>
      <c r="H91" s="7">
        <v>730</v>
      </c>
      <c r="I91" s="7" t="s">
        <v>336</v>
      </c>
      <c r="J91" s="7" t="s">
        <v>455</v>
      </c>
      <c r="K91" s="7" t="s">
        <v>337</v>
      </c>
      <c r="L91" s="7"/>
      <c r="M91" s="7" t="s">
        <v>338</v>
      </c>
      <c r="N91" s="7" t="s">
        <v>67</v>
      </c>
      <c r="O91" s="8">
        <v>4297407</v>
      </c>
      <c r="P91" s="8">
        <v>0</v>
      </c>
      <c r="Q91" s="8">
        <v>1432469</v>
      </c>
      <c r="R91" s="8">
        <v>0</v>
      </c>
      <c r="S91" s="8">
        <v>5729876</v>
      </c>
      <c r="T91" s="8">
        <v>899776</v>
      </c>
      <c r="U91" s="8">
        <v>0</v>
      </c>
      <c r="V91" s="8">
        <v>0</v>
      </c>
      <c r="W91" s="8">
        <v>200000</v>
      </c>
      <c r="X91" s="8">
        <v>0</v>
      </c>
      <c r="Y91" s="8">
        <v>0</v>
      </c>
      <c r="Z91" s="8">
        <v>371760</v>
      </c>
      <c r="AA91" s="8">
        <v>297381</v>
      </c>
      <c r="AB91" s="8">
        <v>0</v>
      </c>
      <c r="AC91" s="8">
        <v>0</v>
      </c>
      <c r="AD91" s="8">
        <v>0</v>
      </c>
      <c r="AE91" s="8">
        <v>0</v>
      </c>
      <c r="AF91" s="8">
        <v>7498793</v>
      </c>
      <c r="AG91" s="8">
        <v>114598</v>
      </c>
      <c r="AH91" s="8">
        <v>57299</v>
      </c>
      <c r="AI91" s="8">
        <v>57299</v>
      </c>
      <c r="AJ91" s="8">
        <v>0</v>
      </c>
      <c r="AK91" s="8">
        <v>74988</v>
      </c>
      <c r="AL91" s="8">
        <v>0</v>
      </c>
      <c r="AM91" s="8">
        <v>297381</v>
      </c>
      <c r="AN91" s="8">
        <v>0</v>
      </c>
      <c r="AO91" s="8">
        <v>0</v>
      </c>
      <c r="AP91" s="8">
        <v>0</v>
      </c>
      <c r="AQ91" s="8">
        <v>0</v>
      </c>
      <c r="AR91" s="8">
        <v>0</v>
      </c>
      <c r="AS91" s="8">
        <v>0</v>
      </c>
      <c r="AT91" s="8">
        <v>0</v>
      </c>
      <c r="AU91" s="8">
        <v>601565</v>
      </c>
      <c r="AV91" s="8">
        <v>0</v>
      </c>
      <c r="AW91" s="8">
        <v>6897228</v>
      </c>
    </row>
    <row r="92" spans="1:49">
      <c r="A92" s="15">
        <f t="shared" si="3"/>
        <v>65</v>
      </c>
      <c r="B92" s="16" t="s">
        <v>123</v>
      </c>
      <c r="C92" s="10">
        <v>46082</v>
      </c>
      <c r="D92" s="7" t="s">
        <v>57</v>
      </c>
      <c r="E92" s="7" t="s">
        <v>98</v>
      </c>
      <c r="F92" s="7">
        <v>900000</v>
      </c>
      <c r="G92" s="7" t="s">
        <v>339</v>
      </c>
      <c r="H92" s="7">
        <v>718</v>
      </c>
      <c r="I92" s="7" t="s">
        <v>340</v>
      </c>
      <c r="J92" s="7" t="s">
        <v>455</v>
      </c>
      <c r="K92" s="7" t="s">
        <v>341</v>
      </c>
      <c r="L92" s="7"/>
      <c r="M92" s="7" t="s">
        <v>342</v>
      </c>
      <c r="N92" s="7" t="s">
        <v>67</v>
      </c>
      <c r="O92" s="8">
        <v>5519603</v>
      </c>
      <c r="P92" s="8">
        <v>0</v>
      </c>
      <c r="Q92" s="8">
        <v>1027963</v>
      </c>
      <c r="R92" s="8">
        <v>0</v>
      </c>
      <c r="S92" s="8">
        <v>6547566</v>
      </c>
      <c r="T92" s="8">
        <v>1023484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325290</v>
      </c>
      <c r="AA92" s="8">
        <v>339819</v>
      </c>
      <c r="AB92" s="8">
        <v>0</v>
      </c>
      <c r="AC92" s="8">
        <v>0</v>
      </c>
      <c r="AD92" s="8">
        <v>0</v>
      </c>
      <c r="AE92" s="8">
        <v>0</v>
      </c>
      <c r="AF92" s="8">
        <v>8236159</v>
      </c>
      <c r="AG92" s="8">
        <v>130951</v>
      </c>
      <c r="AH92" s="8">
        <v>65476</v>
      </c>
      <c r="AI92" s="8">
        <v>65476</v>
      </c>
      <c r="AJ92" s="8">
        <v>0</v>
      </c>
      <c r="AK92" s="8">
        <v>123542</v>
      </c>
      <c r="AL92" s="8">
        <v>0</v>
      </c>
      <c r="AM92" s="8">
        <v>339819</v>
      </c>
      <c r="AN92" s="8">
        <v>0</v>
      </c>
      <c r="AO92" s="8">
        <v>0</v>
      </c>
      <c r="AP92" s="8">
        <v>0</v>
      </c>
      <c r="AQ92" s="8">
        <v>0</v>
      </c>
      <c r="AR92" s="8">
        <v>0</v>
      </c>
      <c r="AS92" s="8">
        <v>0</v>
      </c>
      <c r="AT92" s="8">
        <v>0</v>
      </c>
      <c r="AU92" s="8">
        <v>725264</v>
      </c>
      <c r="AV92" s="8">
        <v>0</v>
      </c>
      <c r="AW92" s="8">
        <v>7510895</v>
      </c>
    </row>
    <row r="93" spans="1:49">
      <c r="A93" s="15">
        <v>1</v>
      </c>
      <c r="B93" s="16" t="s">
        <v>123</v>
      </c>
      <c r="C93" s="10">
        <v>46082</v>
      </c>
      <c r="D93" s="7" t="s">
        <v>79</v>
      </c>
      <c r="E93" s="7" t="s">
        <v>99</v>
      </c>
      <c r="F93" s="7">
        <v>100000</v>
      </c>
      <c r="G93" s="7" t="s">
        <v>157</v>
      </c>
      <c r="H93" s="7">
        <v>800</v>
      </c>
      <c r="I93" s="7" t="s">
        <v>343</v>
      </c>
      <c r="J93" s="7" t="s">
        <v>456</v>
      </c>
      <c r="K93" s="7" t="s">
        <v>344</v>
      </c>
      <c r="L93" s="7"/>
      <c r="M93" s="7" t="s">
        <v>345</v>
      </c>
      <c r="N93" s="7" t="s">
        <v>47</v>
      </c>
      <c r="O93" s="8">
        <v>5921540</v>
      </c>
      <c r="P93" s="8">
        <v>1465200</v>
      </c>
      <c r="Q93" s="8">
        <v>0</v>
      </c>
      <c r="R93" s="8">
        <v>388735</v>
      </c>
      <c r="S93" s="8">
        <v>7775475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325290</v>
      </c>
      <c r="AA93" s="8">
        <v>403547</v>
      </c>
      <c r="AB93" s="8">
        <v>0</v>
      </c>
      <c r="AC93" s="8">
        <v>0</v>
      </c>
      <c r="AD93" s="8">
        <v>0</v>
      </c>
      <c r="AE93" s="8">
        <v>0</v>
      </c>
      <c r="AF93" s="8">
        <v>8504312</v>
      </c>
      <c r="AG93" s="8">
        <v>155510</v>
      </c>
      <c r="AH93" s="8">
        <v>77755</v>
      </c>
      <c r="AI93" s="8">
        <v>77755</v>
      </c>
      <c r="AJ93" s="8">
        <v>0</v>
      </c>
      <c r="AK93" s="8">
        <v>127565</v>
      </c>
      <c r="AL93" s="8">
        <v>0</v>
      </c>
      <c r="AM93" s="8">
        <v>403547</v>
      </c>
      <c r="AN93" s="8">
        <v>0</v>
      </c>
      <c r="AO93" s="8">
        <v>0</v>
      </c>
      <c r="AP93" s="8">
        <v>35500</v>
      </c>
      <c r="AQ93" s="8">
        <v>0</v>
      </c>
      <c r="AR93" s="8">
        <v>-70000</v>
      </c>
      <c r="AS93" s="8">
        <v>0</v>
      </c>
      <c r="AT93" s="8">
        <v>0</v>
      </c>
      <c r="AU93" s="8">
        <v>807632</v>
      </c>
      <c r="AV93" s="8">
        <v>0</v>
      </c>
      <c r="AW93" s="8">
        <v>7696680</v>
      </c>
    </row>
    <row r="94" spans="1:49">
      <c r="A94" s="15">
        <f t="shared" ref="A94:A141" si="4">+A93+1</f>
        <v>2</v>
      </c>
      <c r="B94" s="16" t="s">
        <v>123</v>
      </c>
      <c r="C94" s="10">
        <v>46082</v>
      </c>
      <c r="D94" s="7" t="s">
        <v>79</v>
      </c>
      <c r="E94" s="7" t="s">
        <v>99</v>
      </c>
      <c r="F94" s="7">
        <v>100000</v>
      </c>
      <c r="G94" s="7" t="s">
        <v>157</v>
      </c>
      <c r="H94" s="7">
        <v>800</v>
      </c>
      <c r="I94" s="7" t="s">
        <v>343</v>
      </c>
      <c r="J94" s="7" t="s">
        <v>456</v>
      </c>
      <c r="K94" s="7" t="s">
        <v>346</v>
      </c>
      <c r="L94" s="7"/>
      <c r="M94" s="7" t="s">
        <v>347</v>
      </c>
      <c r="N94" s="7" t="s">
        <v>67</v>
      </c>
      <c r="O94" s="8">
        <v>5108955</v>
      </c>
      <c r="P94" s="8">
        <v>1435000</v>
      </c>
      <c r="Q94" s="8">
        <v>0</v>
      </c>
      <c r="R94" s="8">
        <v>334524</v>
      </c>
      <c r="S94" s="8">
        <v>6878479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325290</v>
      </c>
      <c r="AA94" s="8">
        <v>356992</v>
      </c>
      <c r="AB94" s="8">
        <v>0</v>
      </c>
      <c r="AC94" s="8">
        <v>0</v>
      </c>
      <c r="AD94" s="8">
        <v>0</v>
      </c>
      <c r="AE94" s="8">
        <v>0</v>
      </c>
      <c r="AF94" s="8">
        <v>7560761</v>
      </c>
      <c r="AG94" s="8">
        <v>137570</v>
      </c>
      <c r="AH94" s="8">
        <v>68785</v>
      </c>
      <c r="AI94" s="8">
        <v>68785</v>
      </c>
      <c r="AJ94" s="8">
        <v>0</v>
      </c>
      <c r="AK94" s="8">
        <v>75608</v>
      </c>
      <c r="AL94" s="8">
        <v>0</v>
      </c>
      <c r="AM94" s="8">
        <v>356992</v>
      </c>
      <c r="AN94" s="8">
        <v>0</v>
      </c>
      <c r="AO94" s="8">
        <v>0</v>
      </c>
      <c r="AP94" s="8">
        <v>35500</v>
      </c>
      <c r="AQ94" s="8">
        <v>0</v>
      </c>
      <c r="AR94" s="8">
        <v>0</v>
      </c>
      <c r="AS94" s="8">
        <v>0</v>
      </c>
      <c r="AT94" s="8">
        <v>0</v>
      </c>
      <c r="AU94" s="8">
        <v>743240</v>
      </c>
      <c r="AV94" s="8">
        <v>0</v>
      </c>
      <c r="AW94" s="8">
        <v>6817521</v>
      </c>
    </row>
    <row r="95" spans="1:49">
      <c r="A95" s="15">
        <f t="shared" si="4"/>
        <v>3</v>
      </c>
      <c r="B95" s="16" t="s">
        <v>123</v>
      </c>
      <c r="C95" s="10">
        <v>46082</v>
      </c>
      <c r="D95" s="7" t="s">
        <v>79</v>
      </c>
      <c r="E95" s="7" t="s">
        <v>99</v>
      </c>
      <c r="F95" s="7">
        <v>100000</v>
      </c>
      <c r="G95" s="7" t="s">
        <v>157</v>
      </c>
      <c r="H95" s="7">
        <v>800</v>
      </c>
      <c r="I95" s="7" t="s">
        <v>343</v>
      </c>
      <c r="J95" s="7" t="s">
        <v>456</v>
      </c>
      <c r="K95" s="7" t="s">
        <v>348</v>
      </c>
      <c r="L95" s="7"/>
      <c r="M95" s="7" t="s">
        <v>349</v>
      </c>
      <c r="N95" s="7" t="s">
        <v>47</v>
      </c>
      <c r="O95" s="8">
        <v>4916623</v>
      </c>
      <c r="P95" s="8">
        <v>1465200</v>
      </c>
      <c r="Q95" s="8">
        <v>0</v>
      </c>
      <c r="R95" s="8">
        <v>198063</v>
      </c>
      <c r="S95" s="8">
        <v>6579886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325290</v>
      </c>
      <c r="AA95" s="8">
        <v>341496</v>
      </c>
      <c r="AB95" s="8">
        <v>0</v>
      </c>
      <c r="AC95" s="8">
        <v>0</v>
      </c>
      <c r="AD95" s="8">
        <v>0</v>
      </c>
      <c r="AE95" s="8">
        <v>0</v>
      </c>
      <c r="AF95" s="8">
        <v>7246672</v>
      </c>
      <c r="AG95" s="8">
        <v>131598</v>
      </c>
      <c r="AH95" s="8">
        <v>65799</v>
      </c>
      <c r="AI95" s="8">
        <v>65799</v>
      </c>
      <c r="AJ95" s="8">
        <v>0</v>
      </c>
      <c r="AK95" s="8">
        <v>36233</v>
      </c>
      <c r="AL95" s="8">
        <v>0</v>
      </c>
      <c r="AM95" s="8">
        <v>341496</v>
      </c>
      <c r="AN95" s="8">
        <v>0</v>
      </c>
      <c r="AO95" s="8">
        <v>0</v>
      </c>
      <c r="AP95" s="8">
        <v>35500</v>
      </c>
      <c r="AQ95" s="8">
        <v>0</v>
      </c>
      <c r="AR95" s="8">
        <v>-112000</v>
      </c>
      <c r="AS95" s="8">
        <v>467500</v>
      </c>
      <c r="AT95" s="8">
        <v>0</v>
      </c>
      <c r="AU95" s="8">
        <v>1031925</v>
      </c>
      <c r="AV95" s="8">
        <v>0</v>
      </c>
      <c r="AW95" s="8">
        <v>6214747</v>
      </c>
    </row>
    <row r="96" spans="1:49">
      <c r="A96" s="15">
        <f t="shared" si="4"/>
        <v>4</v>
      </c>
      <c r="B96" s="16" t="s">
        <v>123</v>
      </c>
      <c r="C96" s="10">
        <v>46082</v>
      </c>
      <c r="D96" s="7" t="s">
        <v>79</v>
      </c>
      <c r="E96" s="7" t="s">
        <v>99</v>
      </c>
      <c r="F96" s="7">
        <v>100000</v>
      </c>
      <c r="G96" s="7" t="s">
        <v>157</v>
      </c>
      <c r="H96" s="7">
        <v>800</v>
      </c>
      <c r="I96" s="7" t="s">
        <v>343</v>
      </c>
      <c r="J96" s="7" t="s">
        <v>456</v>
      </c>
      <c r="K96" s="7" t="s">
        <v>350</v>
      </c>
      <c r="L96" s="7"/>
      <c r="M96" s="7" t="s">
        <v>351</v>
      </c>
      <c r="N96" s="7" t="s">
        <v>47</v>
      </c>
      <c r="O96" s="8">
        <v>6083404</v>
      </c>
      <c r="P96" s="8">
        <v>1465200</v>
      </c>
      <c r="Q96" s="8">
        <v>0</v>
      </c>
      <c r="R96" s="8">
        <v>460297</v>
      </c>
      <c r="S96" s="8">
        <v>8008901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325290</v>
      </c>
      <c r="AA96" s="8">
        <v>415662</v>
      </c>
      <c r="AB96" s="8">
        <v>0</v>
      </c>
      <c r="AC96" s="8">
        <v>0</v>
      </c>
      <c r="AD96" s="8">
        <v>0</v>
      </c>
      <c r="AE96" s="8">
        <v>0</v>
      </c>
      <c r="AF96" s="8">
        <v>8749853</v>
      </c>
      <c r="AG96" s="8">
        <v>160178</v>
      </c>
      <c r="AH96" s="8">
        <v>80089</v>
      </c>
      <c r="AI96" s="8">
        <v>80089</v>
      </c>
      <c r="AJ96" s="8">
        <v>0</v>
      </c>
      <c r="AK96" s="8">
        <v>153122</v>
      </c>
      <c r="AL96" s="8">
        <v>0</v>
      </c>
      <c r="AM96" s="8">
        <v>415662</v>
      </c>
      <c r="AN96" s="8">
        <v>0</v>
      </c>
      <c r="AO96" s="8">
        <v>0</v>
      </c>
      <c r="AP96" s="8">
        <v>35500</v>
      </c>
      <c r="AQ96" s="8">
        <v>0</v>
      </c>
      <c r="AR96" s="8">
        <v>0</v>
      </c>
      <c r="AS96" s="8">
        <v>100000</v>
      </c>
      <c r="AT96" s="8">
        <v>0</v>
      </c>
      <c r="AU96" s="8">
        <v>1024640</v>
      </c>
      <c r="AV96" s="8">
        <v>0</v>
      </c>
      <c r="AW96" s="8">
        <v>7725213</v>
      </c>
    </row>
    <row r="97" spans="1:49">
      <c r="A97" s="15">
        <f t="shared" si="4"/>
        <v>5</v>
      </c>
      <c r="B97" s="16" t="s">
        <v>123</v>
      </c>
      <c r="C97" s="10">
        <v>46082</v>
      </c>
      <c r="D97" s="7" t="s">
        <v>79</v>
      </c>
      <c r="E97" s="7" t="s">
        <v>99</v>
      </c>
      <c r="F97" s="7">
        <v>100000</v>
      </c>
      <c r="G97" s="7" t="s">
        <v>157</v>
      </c>
      <c r="H97" s="7">
        <v>800</v>
      </c>
      <c r="I97" s="7" t="s">
        <v>343</v>
      </c>
      <c r="J97" s="7" t="s">
        <v>456</v>
      </c>
      <c r="K97" s="7" t="s">
        <v>352</v>
      </c>
      <c r="L97" s="7"/>
      <c r="M97" s="7" t="s">
        <v>353</v>
      </c>
      <c r="N97" s="7" t="s">
        <v>67</v>
      </c>
      <c r="O97" s="8">
        <v>4502935</v>
      </c>
      <c r="P97" s="8">
        <v>1175000</v>
      </c>
      <c r="Q97" s="8">
        <v>0</v>
      </c>
      <c r="R97" s="8">
        <v>208918</v>
      </c>
      <c r="S97" s="8">
        <v>5886853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325290</v>
      </c>
      <c r="AA97" s="8">
        <v>305528</v>
      </c>
      <c r="AB97" s="8">
        <v>0</v>
      </c>
      <c r="AC97" s="8">
        <v>0</v>
      </c>
      <c r="AD97" s="8">
        <v>0</v>
      </c>
      <c r="AE97" s="8">
        <v>0</v>
      </c>
      <c r="AF97" s="8">
        <v>6517671</v>
      </c>
      <c r="AG97" s="8">
        <v>117737</v>
      </c>
      <c r="AH97" s="8">
        <v>58869</v>
      </c>
      <c r="AI97" s="8">
        <v>58869</v>
      </c>
      <c r="AJ97" s="8">
        <v>0</v>
      </c>
      <c r="AK97" s="8">
        <v>32588</v>
      </c>
      <c r="AL97" s="8">
        <v>0</v>
      </c>
      <c r="AM97" s="8">
        <v>305528</v>
      </c>
      <c r="AN97" s="8">
        <v>0</v>
      </c>
      <c r="AO97" s="8">
        <v>0</v>
      </c>
      <c r="AP97" s="8">
        <v>0</v>
      </c>
      <c r="AQ97" s="8">
        <v>0</v>
      </c>
      <c r="AR97" s="8">
        <v>0</v>
      </c>
      <c r="AS97" s="8">
        <v>0</v>
      </c>
      <c r="AT97" s="8">
        <v>0</v>
      </c>
      <c r="AU97" s="8">
        <v>573591</v>
      </c>
      <c r="AV97" s="8">
        <v>0</v>
      </c>
      <c r="AW97" s="8">
        <v>5944080</v>
      </c>
    </row>
    <row r="98" spans="1:49">
      <c r="A98" s="15">
        <f t="shared" si="4"/>
        <v>6</v>
      </c>
      <c r="B98" s="16" t="s">
        <v>123</v>
      </c>
      <c r="C98" s="10">
        <v>46082</v>
      </c>
      <c r="D98" s="7" t="s">
        <v>79</v>
      </c>
      <c r="E98" s="7" t="s">
        <v>99</v>
      </c>
      <c r="F98" s="7">
        <v>100000</v>
      </c>
      <c r="G98" s="7" t="s">
        <v>157</v>
      </c>
      <c r="H98" s="7">
        <v>800</v>
      </c>
      <c r="I98" s="7" t="s">
        <v>343</v>
      </c>
      <c r="J98" s="7" t="s">
        <v>456</v>
      </c>
      <c r="K98" s="7" t="s">
        <v>354</v>
      </c>
      <c r="L98" s="7"/>
      <c r="M98" s="7" t="s">
        <v>355</v>
      </c>
      <c r="N98" s="7" t="s">
        <v>47</v>
      </c>
      <c r="O98" s="8">
        <v>5249384</v>
      </c>
      <c r="P98" s="8">
        <v>1465200</v>
      </c>
      <c r="Q98" s="8">
        <v>0</v>
      </c>
      <c r="R98" s="8">
        <v>277379</v>
      </c>
      <c r="S98" s="8">
        <v>6991963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278820</v>
      </c>
      <c r="AA98" s="8">
        <v>362883</v>
      </c>
      <c r="AB98" s="8">
        <v>0</v>
      </c>
      <c r="AC98" s="8">
        <v>0</v>
      </c>
      <c r="AD98" s="8">
        <v>0</v>
      </c>
      <c r="AE98" s="8">
        <v>0</v>
      </c>
      <c r="AF98" s="8">
        <v>7633666</v>
      </c>
      <c r="AG98" s="8">
        <v>139839</v>
      </c>
      <c r="AH98" s="8">
        <v>69920</v>
      </c>
      <c r="AI98" s="8">
        <v>69920</v>
      </c>
      <c r="AJ98" s="8">
        <v>0</v>
      </c>
      <c r="AK98" s="8">
        <v>76337</v>
      </c>
      <c r="AL98" s="8">
        <v>0</v>
      </c>
      <c r="AM98" s="8">
        <v>362883</v>
      </c>
      <c r="AN98" s="8">
        <v>0</v>
      </c>
      <c r="AO98" s="8">
        <v>0</v>
      </c>
      <c r="AP98" s="8">
        <v>35500</v>
      </c>
      <c r="AQ98" s="8">
        <v>0</v>
      </c>
      <c r="AR98" s="8">
        <v>0</v>
      </c>
      <c r="AS98" s="8">
        <v>1928886</v>
      </c>
      <c r="AT98" s="8">
        <v>0</v>
      </c>
      <c r="AU98" s="8">
        <v>2683285</v>
      </c>
      <c r="AV98" s="8">
        <v>0</v>
      </c>
      <c r="AW98" s="8">
        <v>4950381</v>
      </c>
    </row>
    <row r="99" spans="1:49">
      <c r="A99" s="15">
        <f t="shared" si="4"/>
        <v>7</v>
      </c>
      <c r="B99" s="16" t="s">
        <v>123</v>
      </c>
      <c r="C99" s="10">
        <v>46082</v>
      </c>
      <c r="D99" s="7" t="s">
        <v>79</v>
      </c>
      <c r="E99" s="7" t="s">
        <v>99</v>
      </c>
      <c r="F99" s="7">
        <v>100000</v>
      </c>
      <c r="G99" s="7" t="s">
        <v>157</v>
      </c>
      <c r="H99" s="7">
        <v>800</v>
      </c>
      <c r="I99" s="7" t="s">
        <v>343</v>
      </c>
      <c r="J99" s="7" t="s">
        <v>456</v>
      </c>
      <c r="K99" s="7" t="s">
        <v>356</v>
      </c>
      <c r="L99" s="7"/>
      <c r="M99" s="7" t="s">
        <v>357</v>
      </c>
      <c r="N99" s="7" t="s">
        <v>47</v>
      </c>
      <c r="O99" s="8">
        <v>5541779</v>
      </c>
      <c r="P99" s="8">
        <v>1455000</v>
      </c>
      <c r="Q99" s="8">
        <v>0</v>
      </c>
      <c r="R99" s="8">
        <v>408949</v>
      </c>
      <c r="S99" s="8">
        <v>7405728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325290</v>
      </c>
      <c r="AA99" s="8">
        <v>384357</v>
      </c>
      <c r="AB99" s="8">
        <v>0</v>
      </c>
      <c r="AC99" s="8">
        <v>0</v>
      </c>
      <c r="AD99" s="8">
        <v>0</v>
      </c>
      <c r="AE99" s="8">
        <v>0</v>
      </c>
      <c r="AF99" s="8">
        <v>8115375</v>
      </c>
      <c r="AG99" s="8">
        <v>148115</v>
      </c>
      <c r="AH99" s="8">
        <v>74057</v>
      </c>
      <c r="AI99" s="8">
        <v>74057</v>
      </c>
      <c r="AJ99" s="8">
        <v>0</v>
      </c>
      <c r="AK99" s="8">
        <v>81154</v>
      </c>
      <c r="AL99" s="8">
        <v>0</v>
      </c>
      <c r="AM99" s="8">
        <v>384357</v>
      </c>
      <c r="AN99" s="8">
        <v>0</v>
      </c>
      <c r="AO99" s="8">
        <v>0</v>
      </c>
      <c r="AP99" s="8">
        <v>35500</v>
      </c>
      <c r="AQ99" s="8">
        <v>0</v>
      </c>
      <c r="AR99" s="8">
        <v>0</v>
      </c>
      <c r="AS99" s="8">
        <v>0</v>
      </c>
      <c r="AT99" s="8">
        <v>0</v>
      </c>
      <c r="AU99" s="8">
        <v>797240</v>
      </c>
      <c r="AV99" s="8">
        <v>0</v>
      </c>
      <c r="AW99" s="8">
        <v>7318135</v>
      </c>
    </row>
    <row r="100" spans="1:49">
      <c r="A100" s="15">
        <f t="shared" si="4"/>
        <v>8</v>
      </c>
      <c r="B100" s="16" t="s">
        <v>123</v>
      </c>
      <c r="C100" s="10">
        <v>46082</v>
      </c>
      <c r="D100" s="7" t="s">
        <v>79</v>
      </c>
      <c r="E100" s="7" t="s">
        <v>99</v>
      </c>
      <c r="F100" s="7">
        <v>100000</v>
      </c>
      <c r="G100" s="7" t="s">
        <v>157</v>
      </c>
      <c r="H100" s="7">
        <v>800</v>
      </c>
      <c r="I100" s="7" t="s">
        <v>343</v>
      </c>
      <c r="J100" s="7" t="s">
        <v>456</v>
      </c>
      <c r="K100" s="7" t="s">
        <v>358</v>
      </c>
      <c r="L100" s="7"/>
      <c r="M100" s="7" t="s">
        <v>359</v>
      </c>
      <c r="N100" s="7" t="s">
        <v>67</v>
      </c>
      <c r="O100" s="8">
        <v>4718599</v>
      </c>
      <c r="P100" s="8">
        <v>1435000</v>
      </c>
      <c r="Q100" s="8">
        <v>0</v>
      </c>
      <c r="R100" s="8">
        <v>221671</v>
      </c>
      <c r="S100" s="8">
        <v>6375270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325290</v>
      </c>
      <c r="AA100" s="8">
        <v>330877</v>
      </c>
      <c r="AB100" s="8">
        <v>0</v>
      </c>
      <c r="AC100" s="8">
        <v>0</v>
      </c>
      <c r="AD100" s="8">
        <v>0</v>
      </c>
      <c r="AE100" s="8">
        <v>0</v>
      </c>
      <c r="AF100" s="8">
        <v>7031437</v>
      </c>
      <c r="AG100" s="8">
        <v>127505</v>
      </c>
      <c r="AH100" s="8">
        <v>63753</v>
      </c>
      <c r="AI100" s="8">
        <v>63753</v>
      </c>
      <c r="AJ100" s="8">
        <v>0</v>
      </c>
      <c r="AK100" s="8">
        <v>52736</v>
      </c>
      <c r="AL100" s="8">
        <v>0</v>
      </c>
      <c r="AM100" s="8">
        <v>330877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638624</v>
      </c>
      <c r="AV100" s="8">
        <v>0</v>
      </c>
      <c r="AW100" s="8">
        <v>6392813</v>
      </c>
    </row>
    <row r="101" spans="1:49">
      <c r="A101" s="15">
        <f t="shared" si="4"/>
        <v>9</v>
      </c>
      <c r="B101" s="16" t="s">
        <v>123</v>
      </c>
      <c r="C101" s="10">
        <v>46082</v>
      </c>
      <c r="D101" s="7" t="s">
        <v>79</v>
      </c>
      <c r="E101" s="7" t="s">
        <v>99</v>
      </c>
      <c r="F101" s="7">
        <v>100000</v>
      </c>
      <c r="G101" s="7" t="s">
        <v>157</v>
      </c>
      <c r="H101" s="7">
        <v>800</v>
      </c>
      <c r="I101" s="7" t="s">
        <v>343</v>
      </c>
      <c r="J101" s="7" t="s">
        <v>456</v>
      </c>
      <c r="K101" s="7" t="s">
        <v>360</v>
      </c>
      <c r="L101" s="7"/>
      <c r="M101" s="7" t="s">
        <v>361</v>
      </c>
      <c r="N101" s="7" t="s">
        <v>47</v>
      </c>
      <c r="O101" s="8">
        <v>5657549</v>
      </c>
      <c r="P101" s="8">
        <v>1470300</v>
      </c>
      <c r="Q101" s="8">
        <v>0</v>
      </c>
      <c r="R101" s="8">
        <v>602294</v>
      </c>
      <c r="S101" s="8">
        <v>7730143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325290</v>
      </c>
      <c r="AA101" s="8">
        <v>401194</v>
      </c>
      <c r="AB101" s="8">
        <v>0</v>
      </c>
      <c r="AC101" s="8">
        <v>0</v>
      </c>
      <c r="AD101" s="8">
        <v>0</v>
      </c>
      <c r="AE101" s="8">
        <v>0</v>
      </c>
      <c r="AF101" s="8">
        <v>8456627</v>
      </c>
      <c r="AG101" s="8">
        <v>154603</v>
      </c>
      <c r="AH101" s="8">
        <v>77301</v>
      </c>
      <c r="AI101" s="8">
        <v>77301</v>
      </c>
      <c r="AJ101" s="8">
        <v>0</v>
      </c>
      <c r="AK101" s="8">
        <v>84566</v>
      </c>
      <c r="AL101" s="8">
        <v>0</v>
      </c>
      <c r="AM101" s="8">
        <v>401194</v>
      </c>
      <c r="AN101" s="8">
        <v>0</v>
      </c>
      <c r="AO101" s="8">
        <v>0</v>
      </c>
      <c r="AP101" s="8">
        <v>35500</v>
      </c>
      <c r="AQ101" s="8">
        <v>0</v>
      </c>
      <c r="AR101" s="8">
        <v>0</v>
      </c>
      <c r="AS101" s="8">
        <v>1190250</v>
      </c>
      <c r="AT101" s="8">
        <v>0</v>
      </c>
      <c r="AU101" s="8">
        <v>2020715</v>
      </c>
      <c r="AV101" s="8">
        <v>0</v>
      </c>
      <c r="AW101" s="8">
        <v>6435912</v>
      </c>
    </row>
    <row r="102" spans="1:49">
      <c r="A102" s="15">
        <f t="shared" si="4"/>
        <v>10</v>
      </c>
      <c r="B102" s="16" t="s">
        <v>123</v>
      </c>
      <c r="C102" s="10">
        <v>46082</v>
      </c>
      <c r="D102" s="7" t="s">
        <v>79</v>
      </c>
      <c r="E102" s="7" t="s">
        <v>99</v>
      </c>
      <c r="F102" s="7">
        <v>100000</v>
      </c>
      <c r="G102" s="7" t="s">
        <v>157</v>
      </c>
      <c r="H102" s="7">
        <v>800</v>
      </c>
      <c r="I102" s="7" t="s">
        <v>343</v>
      </c>
      <c r="J102" s="7" t="s">
        <v>456</v>
      </c>
      <c r="K102" s="7" t="s">
        <v>362</v>
      </c>
      <c r="L102" s="7"/>
      <c r="M102" s="7" t="s">
        <v>363</v>
      </c>
      <c r="N102" s="7" t="s">
        <v>47</v>
      </c>
      <c r="O102" s="8">
        <v>5691711</v>
      </c>
      <c r="P102" s="8">
        <v>1475400</v>
      </c>
      <c r="Q102" s="8">
        <v>0</v>
      </c>
      <c r="R102" s="8">
        <v>557562</v>
      </c>
      <c r="S102" s="8">
        <v>7724673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325290</v>
      </c>
      <c r="AA102" s="8">
        <v>400911</v>
      </c>
      <c r="AB102" s="8">
        <v>0</v>
      </c>
      <c r="AC102" s="8">
        <v>0</v>
      </c>
      <c r="AD102" s="8">
        <v>0</v>
      </c>
      <c r="AE102" s="8">
        <v>0</v>
      </c>
      <c r="AF102" s="8">
        <v>8450874</v>
      </c>
      <c r="AG102" s="8">
        <v>154493</v>
      </c>
      <c r="AH102" s="8">
        <v>77247</v>
      </c>
      <c r="AI102" s="8">
        <v>77247</v>
      </c>
      <c r="AJ102" s="8">
        <v>0</v>
      </c>
      <c r="AK102" s="8">
        <v>84509</v>
      </c>
      <c r="AL102" s="8">
        <v>0</v>
      </c>
      <c r="AM102" s="8">
        <v>400911</v>
      </c>
      <c r="AN102" s="8">
        <v>0</v>
      </c>
      <c r="AO102" s="8">
        <v>0</v>
      </c>
      <c r="AP102" s="8">
        <v>35500</v>
      </c>
      <c r="AQ102" s="8">
        <v>0</v>
      </c>
      <c r="AR102" s="8">
        <v>-50000</v>
      </c>
      <c r="AS102" s="8">
        <v>734597</v>
      </c>
      <c r="AT102" s="8">
        <v>0</v>
      </c>
      <c r="AU102" s="8">
        <v>1514504</v>
      </c>
      <c r="AV102" s="8">
        <v>0</v>
      </c>
      <c r="AW102" s="8">
        <v>6936370</v>
      </c>
    </row>
    <row r="103" spans="1:49">
      <c r="A103" s="15">
        <f t="shared" si="4"/>
        <v>11</v>
      </c>
      <c r="B103" s="16" t="s">
        <v>123</v>
      </c>
      <c r="C103" s="10">
        <v>46082</v>
      </c>
      <c r="D103" s="7" t="s">
        <v>79</v>
      </c>
      <c r="E103" s="7" t="s">
        <v>99</v>
      </c>
      <c r="F103" s="7">
        <v>100000</v>
      </c>
      <c r="G103" s="7" t="s">
        <v>157</v>
      </c>
      <c r="H103" s="7">
        <v>801</v>
      </c>
      <c r="I103" s="7" t="s">
        <v>364</v>
      </c>
      <c r="J103" s="7" t="s">
        <v>456</v>
      </c>
      <c r="K103" s="7" t="s">
        <v>365</v>
      </c>
      <c r="L103" s="7"/>
      <c r="M103" s="7" t="s">
        <v>366</v>
      </c>
      <c r="N103" s="7" t="s">
        <v>47</v>
      </c>
      <c r="O103" s="8">
        <v>6207255</v>
      </c>
      <c r="P103" s="8">
        <v>1460150</v>
      </c>
      <c r="Q103" s="8">
        <v>0</v>
      </c>
      <c r="R103" s="8">
        <v>702536</v>
      </c>
      <c r="S103" s="8">
        <v>8369941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255585</v>
      </c>
      <c r="AA103" s="8">
        <v>434400</v>
      </c>
      <c r="AB103" s="8">
        <v>0</v>
      </c>
      <c r="AC103" s="8">
        <v>0</v>
      </c>
      <c r="AD103" s="8">
        <v>0</v>
      </c>
      <c r="AE103" s="8">
        <v>0</v>
      </c>
      <c r="AF103" s="8">
        <v>9059926</v>
      </c>
      <c r="AG103" s="8">
        <v>167399</v>
      </c>
      <c r="AH103" s="8">
        <v>83699</v>
      </c>
      <c r="AI103" s="8">
        <v>83699</v>
      </c>
      <c r="AJ103" s="8">
        <v>0</v>
      </c>
      <c r="AK103" s="8">
        <v>90599</v>
      </c>
      <c r="AL103" s="8">
        <v>0</v>
      </c>
      <c r="AM103" s="8">
        <v>434400</v>
      </c>
      <c r="AN103" s="8">
        <v>833333</v>
      </c>
      <c r="AO103" s="8">
        <v>0</v>
      </c>
      <c r="AP103" s="8">
        <v>35500</v>
      </c>
      <c r="AQ103" s="8">
        <v>0</v>
      </c>
      <c r="AR103" s="8">
        <v>0</v>
      </c>
      <c r="AS103" s="8">
        <v>2621434</v>
      </c>
      <c r="AT103" s="8">
        <v>0</v>
      </c>
      <c r="AU103" s="8">
        <v>4350063</v>
      </c>
      <c r="AV103" s="8">
        <v>0</v>
      </c>
      <c r="AW103" s="8">
        <v>4709863</v>
      </c>
    </row>
    <row r="104" spans="1:49">
      <c r="A104" s="15">
        <f t="shared" si="4"/>
        <v>12</v>
      </c>
      <c r="B104" s="16" t="s">
        <v>123</v>
      </c>
      <c r="C104" s="10">
        <v>46082</v>
      </c>
      <c r="D104" s="7" t="s">
        <v>79</v>
      </c>
      <c r="E104" s="7" t="s">
        <v>99</v>
      </c>
      <c r="F104" s="7">
        <v>100000</v>
      </c>
      <c r="G104" s="7" t="s">
        <v>157</v>
      </c>
      <c r="H104" s="7">
        <v>801</v>
      </c>
      <c r="I104" s="7" t="s">
        <v>364</v>
      </c>
      <c r="J104" s="7" t="s">
        <v>456</v>
      </c>
      <c r="K104" s="7" t="s">
        <v>367</v>
      </c>
      <c r="L104" s="7"/>
      <c r="M104" s="7" t="s">
        <v>368</v>
      </c>
      <c r="N104" s="7" t="s">
        <v>47</v>
      </c>
      <c r="O104" s="8">
        <v>5104586</v>
      </c>
      <c r="P104" s="8">
        <v>1455100</v>
      </c>
      <c r="Q104" s="8">
        <v>0</v>
      </c>
      <c r="R104" s="8">
        <v>237510</v>
      </c>
      <c r="S104" s="8">
        <v>6797196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325290</v>
      </c>
      <c r="AA104" s="8">
        <v>352775</v>
      </c>
      <c r="AB104" s="8">
        <v>0</v>
      </c>
      <c r="AC104" s="8">
        <v>0</v>
      </c>
      <c r="AD104" s="8">
        <v>0</v>
      </c>
      <c r="AE104" s="8">
        <v>0</v>
      </c>
      <c r="AF104" s="8">
        <v>7475261</v>
      </c>
      <c r="AG104" s="8">
        <v>135944</v>
      </c>
      <c r="AH104" s="8">
        <v>67972</v>
      </c>
      <c r="AI104" s="8">
        <v>67972</v>
      </c>
      <c r="AJ104" s="8">
        <v>0</v>
      </c>
      <c r="AK104" s="8">
        <v>56064</v>
      </c>
      <c r="AL104" s="8">
        <v>0</v>
      </c>
      <c r="AM104" s="8">
        <v>352775</v>
      </c>
      <c r="AN104" s="8">
        <v>0</v>
      </c>
      <c r="AO104" s="8">
        <v>0</v>
      </c>
      <c r="AP104" s="8">
        <v>35500</v>
      </c>
      <c r="AQ104" s="8">
        <v>0</v>
      </c>
      <c r="AR104" s="8">
        <v>0</v>
      </c>
      <c r="AS104" s="8">
        <v>0</v>
      </c>
      <c r="AT104" s="8">
        <v>0</v>
      </c>
      <c r="AU104" s="8">
        <v>716227</v>
      </c>
      <c r="AV104" s="8">
        <v>0</v>
      </c>
      <c r="AW104" s="8">
        <v>6759034</v>
      </c>
    </row>
    <row r="105" spans="1:49">
      <c r="A105" s="15">
        <f t="shared" si="4"/>
        <v>13</v>
      </c>
      <c r="B105" s="16" t="s">
        <v>123</v>
      </c>
      <c r="C105" s="10">
        <v>46082</v>
      </c>
      <c r="D105" s="7" t="s">
        <v>79</v>
      </c>
      <c r="E105" s="7" t="s">
        <v>99</v>
      </c>
      <c r="F105" s="7">
        <v>100000</v>
      </c>
      <c r="G105" s="7" t="s">
        <v>157</v>
      </c>
      <c r="H105" s="7">
        <v>801</v>
      </c>
      <c r="I105" s="7" t="s">
        <v>364</v>
      </c>
      <c r="J105" s="7" t="s">
        <v>456</v>
      </c>
      <c r="K105" s="7" t="s">
        <v>369</v>
      </c>
      <c r="L105" s="7"/>
      <c r="M105" s="7" t="s">
        <v>370</v>
      </c>
      <c r="N105" s="7" t="s">
        <v>47</v>
      </c>
      <c r="O105" s="8">
        <v>5120844</v>
      </c>
      <c r="P105" s="8">
        <v>1470300</v>
      </c>
      <c r="Q105" s="8">
        <v>0</v>
      </c>
      <c r="R105" s="8">
        <v>232615</v>
      </c>
      <c r="S105" s="8">
        <v>6823759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325290</v>
      </c>
      <c r="AA105" s="8">
        <v>354152</v>
      </c>
      <c r="AB105" s="8">
        <v>0</v>
      </c>
      <c r="AC105" s="8">
        <v>0</v>
      </c>
      <c r="AD105" s="8">
        <v>0</v>
      </c>
      <c r="AE105" s="8">
        <v>0</v>
      </c>
      <c r="AF105" s="8">
        <v>7503201</v>
      </c>
      <c r="AG105" s="8">
        <v>136475</v>
      </c>
      <c r="AH105" s="8">
        <v>68238</v>
      </c>
      <c r="AI105" s="8">
        <v>68238</v>
      </c>
      <c r="AJ105" s="8">
        <v>0</v>
      </c>
      <c r="AK105" s="8">
        <v>75032</v>
      </c>
      <c r="AL105" s="8">
        <v>0</v>
      </c>
      <c r="AM105" s="8">
        <v>354152</v>
      </c>
      <c r="AN105" s="8">
        <v>0</v>
      </c>
      <c r="AO105" s="8">
        <v>0</v>
      </c>
      <c r="AP105" s="8">
        <v>35500</v>
      </c>
      <c r="AQ105" s="8">
        <v>0</v>
      </c>
      <c r="AR105" s="8">
        <v>-70000</v>
      </c>
      <c r="AS105" s="8">
        <v>4395733</v>
      </c>
      <c r="AT105" s="8">
        <v>0</v>
      </c>
      <c r="AU105" s="8">
        <v>5063368</v>
      </c>
      <c r="AV105" s="8">
        <v>0</v>
      </c>
      <c r="AW105" s="8">
        <v>2439833</v>
      </c>
    </row>
    <row r="106" spans="1:49">
      <c r="A106" s="15">
        <f t="shared" si="4"/>
        <v>14</v>
      </c>
      <c r="B106" s="16" t="s">
        <v>123</v>
      </c>
      <c r="C106" s="10">
        <v>46082</v>
      </c>
      <c r="D106" s="7" t="s">
        <v>79</v>
      </c>
      <c r="E106" s="7" t="s">
        <v>99</v>
      </c>
      <c r="F106" s="7">
        <v>100000</v>
      </c>
      <c r="G106" s="7" t="s">
        <v>157</v>
      </c>
      <c r="H106" s="7">
        <v>802</v>
      </c>
      <c r="I106" s="7" t="s">
        <v>371</v>
      </c>
      <c r="J106" s="7" t="s">
        <v>456</v>
      </c>
      <c r="K106" s="7" t="s">
        <v>372</v>
      </c>
      <c r="L106" s="7"/>
      <c r="M106" s="7" t="s">
        <v>373</v>
      </c>
      <c r="N106" s="7" t="s">
        <v>47</v>
      </c>
      <c r="O106" s="8">
        <v>4973856</v>
      </c>
      <c r="P106" s="8">
        <v>1445000</v>
      </c>
      <c r="Q106" s="8">
        <v>0</v>
      </c>
      <c r="R106" s="8">
        <v>402661</v>
      </c>
      <c r="S106" s="8">
        <v>6821517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138008</v>
      </c>
      <c r="Z106" s="8">
        <v>255585</v>
      </c>
      <c r="AA106" s="8">
        <v>354038</v>
      </c>
      <c r="AB106" s="8">
        <v>0</v>
      </c>
      <c r="AC106" s="8">
        <v>0</v>
      </c>
      <c r="AD106" s="8">
        <v>0</v>
      </c>
      <c r="AE106" s="8">
        <v>0</v>
      </c>
      <c r="AF106" s="8">
        <v>7569148</v>
      </c>
      <c r="AG106" s="8">
        <v>136430</v>
      </c>
      <c r="AH106" s="8">
        <v>68215</v>
      </c>
      <c r="AI106" s="8">
        <v>68215</v>
      </c>
      <c r="AJ106" s="8">
        <v>0</v>
      </c>
      <c r="AK106" s="8">
        <v>75691</v>
      </c>
      <c r="AL106" s="8">
        <v>0</v>
      </c>
      <c r="AM106" s="8">
        <v>354038</v>
      </c>
      <c r="AN106" s="8">
        <v>0</v>
      </c>
      <c r="AO106" s="8">
        <v>0</v>
      </c>
      <c r="AP106" s="8">
        <v>35500</v>
      </c>
      <c r="AQ106" s="8">
        <v>0</v>
      </c>
      <c r="AR106" s="8">
        <v>0</v>
      </c>
      <c r="AS106" s="8">
        <v>335242</v>
      </c>
      <c r="AT106" s="8">
        <v>0</v>
      </c>
      <c r="AU106" s="8">
        <v>1073331</v>
      </c>
      <c r="AV106" s="8">
        <v>0</v>
      </c>
      <c r="AW106" s="8">
        <v>6495817</v>
      </c>
    </row>
    <row r="107" spans="1:49">
      <c r="A107" s="15">
        <f t="shared" si="4"/>
        <v>15</v>
      </c>
      <c r="B107" s="16" t="s">
        <v>123</v>
      </c>
      <c r="C107" s="10">
        <v>46082</v>
      </c>
      <c r="D107" s="7" t="s">
        <v>79</v>
      </c>
      <c r="E107" s="7" t="s">
        <v>99</v>
      </c>
      <c r="F107" s="7">
        <v>100000</v>
      </c>
      <c r="G107" s="7" t="s">
        <v>157</v>
      </c>
      <c r="H107" s="7">
        <v>805</v>
      </c>
      <c r="I107" s="7" t="s">
        <v>374</v>
      </c>
      <c r="J107" s="7" t="s">
        <v>456</v>
      </c>
      <c r="K107" s="7" t="s">
        <v>375</v>
      </c>
      <c r="L107" s="7"/>
      <c r="M107" s="7" t="s">
        <v>376</v>
      </c>
      <c r="N107" s="7" t="s">
        <v>47</v>
      </c>
      <c r="O107" s="8">
        <v>4743459</v>
      </c>
      <c r="P107" s="8">
        <v>1490600</v>
      </c>
      <c r="Q107" s="8">
        <v>0</v>
      </c>
      <c r="R107" s="8">
        <v>199318</v>
      </c>
      <c r="S107" s="8">
        <v>6433377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255585</v>
      </c>
      <c r="AA107" s="8">
        <v>333892</v>
      </c>
      <c r="AB107" s="8">
        <v>0</v>
      </c>
      <c r="AC107" s="8">
        <v>0</v>
      </c>
      <c r="AD107" s="8">
        <v>0</v>
      </c>
      <c r="AE107" s="8">
        <v>0</v>
      </c>
      <c r="AF107" s="8">
        <v>7022854</v>
      </c>
      <c r="AG107" s="8">
        <v>128668</v>
      </c>
      <c r="AH107" s="8">
        <v>64334</v>
      </c>
      <c r="AI107" s="8">
        <v>64334</v>
      </c>
      <c r="AJ107" s="8">
        <v>0</v>
      </c>
      <c r="AK107" s="8">
        <v>87786</v>
      </c>
      <c r="AL107" s="8">
        <v>0</v>
      </c>
      <c r="AM107" s="8">
        <v>333892</v>
      </c>
      <c r="AN107" s="8">
        <v>833333</v>
      </c>
      <c r="AO107" s="8">
        <v>0</v>
      </c>
      <c r="AP107" s="8">
        <v>35500</v>
      </c>
      <c r="AQ107" s="8">
        <v>0</v>
      </c>
      <c r="AR107" s="8">
        <v>-55000</v>
      </c>
      <c r="AS107" s="8">
        <v>0</v>
      </c>
      <c r="AT107" s="8">
        <v>0</v>
      </c>
      <c r="AU107" s="8">
        <v>1492847</v>
      </c>
      <c r="AV107" s="8">
        <v>0</v>
      </c>
      <c r="AW107" s="8">
        <v>5530007</v>
      </c>
    </row>
    <row r="108" spans="1:49">
      <c r="A108" s="15">
        <f t="shared" si="4"/>
        <v>16</v>
      </c>
      <c r="B108" s="16" t="s">
        <v>123</v>
      </c>
      <c r="C108" s="10">
        <v>46082</v>
      </c>
      <c r="D108" s="7" t="s">
        <v>79</v>
      </c>
      <c r="E108" s="7" t="s">
        <v>99</v>
      </c>
      <c r="F108" s="7">
        <v>100000</v>
      </c>
      <c r="G108" s="7" t="s">
        <v>157</v>
      </c>
      <c r="H108" s="7">
        <v>806</v>
      </c>
      <c r="I108" s="7" t="s">
        <v>377</v>
      </c>
      <c r="J108" s="7" t="s">
        <v>456</v>
      </c>
      <c r="K108" s="7" t="s">
        <v>378</v>
      </c>
      <c r="L108" s="7"/>
      <c r="M108" s="7" t="s">
        <v>379</v>
      </c>
      <c r="N108" s="7" t="s">
        <v>47</v>
      </c>
      <c r="O108" s="8">
        <v>5851487</v>
      </c>
      <c r="P108" s="8">
        <v>1470300</v>
      </c>
      <c r="Q108" s="8">
        <v>0</v>
      </c>
      <c r="R108" s="8">
        <v>375748</v>
      </c>
      <c r="S108" s="8">
        <v>7697535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325290</v>
      </c>
      <c r="AA108" s="8">
        <v>399502</v>
      </c>
      <c r="AB108" s="8">
        <v>0</v>
      </c>
      <c r="AC108" s="8">
        <v>0</v>
      </c>
      <c r="AD108" s="8">
        <v>0</v>
      </c>
      <c r="AE108" s="8">
        <v>0</v>
      </c>
      <c r="AF108" s="8">
        <v>8422327</v>
      </c>
      <c r="AG108" s="8">
        <v>153951</v>
      </c>
      <c r="AH108" s="8">
        <v>76975</v>
      </c>
      <c r="AI108" s="8">
        <v>76975</v>
      </c>
      <c r="AJ108" s="8">
        <v>0</v>
      </c>
      <c r="AK108" s="8">
        <v>84223</v>
      </c>
      <c r="AL108" s="8">
        <v>0</v>
      </c>
      <c r="AM108" s="8">
        <v>399502</v>
      </c>
      <c r="AN108" s="8">
        <v>0</v>
      </c>
      <c r="AO108" s="8">
        <v>0</v>
      </c>
      <c r="AP108" s="8">
        <v>35500</v>
      </c>
      <c r="AQ108" s="8">
        <v>0</v>
      </c>
      <c r="AR108" s="8">
        <v>0</v>
      </c>
      <c r="AS108" s="8">
        <v>2265516</v>
      </c>
      <c r="AT108" s="8">
        <v>0</v>
      </c>
      <c r="AU108" s="8">
        <v>3092642</v>
      </c>
      <c r="AV108" s="8">
        <v>0</v>
      </c>
      <c r="AW108" s="8">
        <v>5329685</v>
      </c>
    </row>
    <row r="109" spans="1:49">
      <c r="A109" s="15">
        <f t="shared" si="4"/>
        <v>17</v>
      </c>
      <c r="B109" s="16" t="s">
        <v>123</v>
      </c>
      <c r="C109" s="10">
        <v>46082</v>
      </c>
      <c r="D109" s="7" t="s">
        <v>79</v>
      </c>
      <c r="E109" s="7" t="s">
        <v>99</v>
      </c>
      <c r="F109" s="7">
        <v>100000</v>
      </c>
      <c r="G109" s="7" t="s">
        <v>157</v>
      </c>
      <c r="H109" s="7">
        <v>808</v>
      </c>
      <c r="I109" s="7" t="s">
        <v>380</v>
      </c>
      <c r="J109" s="7" t="s">
        <v>456</v>
      </c>
      <c r="K109" s="7" t="s">
        <v>381</v>
      </c>
      <c r="L109" s="7"/>
      <c r="M109" s="7" t="s">
        <v>382</v>
      </c>
      <c r="N109" s="7" t="s">
        <v>47</v>
      </c>
      <c r="O109" s="8">
        <v>5223038</v>
      </c>
      <c r="P109" s="8">
        <v>1470300</v>
      </c>
      <c r="Q109" s="8">
        <v>0</v>
      </c>
      <c r="R109" s="8">
        <v>216251</v>
      </c>
      <c r="S109" s="8">
        <v>6909589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325290</v>
      </c>
      <c r="AA109" s="8">
        <v>358608</v>
      </c>
      <c r="AB109" s="8">
        <v>0</v>
      </c>
      <c r="AC109" s="8">
        <v>0</v>
      </c>
      <c r="AD109" s="8">
        <v>0</v>
      </c>
      <c r="AE109" s="8">
        <v>0</v>
      </c>
      <c r="AF109" s="8">
        <v>7593487</v>
      </c>
      <c r="AG109" s="8">
        <v>138192</v>
      </c>
      <c r="AH109" s="8">
        <v>69096</v>
      </c>
      <c r="AI109" s="8">
        <v>69096</v>
      </c>
      <c r="AJ109" s="8">
        <v>0</v>
      </c>
      <c r="AK109" s="8">
        <v>75935</v>
      </c>
      <c r="AL109" s="8">
        <v>0</v>
      </c>
      <c r="AM109" s="8">
        <v>358608</v>
      </c>
      <c r="AN109" s="8">
        <v>0</v>
      </c>
      <c r="AO109" s="8">
        <v>0</v>
      </c>
      <c r="AP109" s="8">
        <v>35500</v>
      </c>
      <c r="AQ109" s="8">
        <v>0</v>
      </c>
      <c r="AR109" s="8">
        <v>0</v>
      </c>
      <c r="AS109" s="8">
        <v>0</v>
      </c>
      <c r="AT109" s="8">
        <v>0</v>
      </c>
      <c r="AU109" s="8">
        <v>746427</v>
      </c>
      <c r="AV109" s="8">
        <v>0</v>
      </c>
      <c r="AW109" s="8">
        <v>6847060</v>
      </c>
    </row>
    <row r="110" spans="1:49">
      <c r="A110" s="15">
        <f t="shared" si="4"/>
        <v>18</v>
      </c>
      <c r="B110" s="16" t="s">
        <v>123</v>
      </c>
      <c r="C110" s="10">
        <v>46082</v>
      </c>
      <c r="D110" s="7" t="s">
        <v>79</v>
      </c>
      <c r="E110" s="7" t="s">
        <v>99</v>
      </c>
      <c r="F110" s="7">
        <v>110000</v>
      </c>
      <c r="G110" s="7" t="s">
        <v>131</v>
      </c>
      <c r="H110" s="7">
        <v>720</v>
      </c>
      <c r="I110" s="7" t="s">
        <v>200</v>
      </c>
      <c r="J110" s="7" t="s">
        <v>456</v>
      </c>
      <c r="K110" s="7" t="s">
        <v>383</v>
      </c>
      <c r="L110" s="7"/>
      <c r="M110" s="7" t="s">
        <v>384</v>
      </c>
      <c r="N110" s="7" t="s">
        <v>47</v>
      </c>
      <c r="O110" s="8">
        <v>6017978</v>
      </c>
      <c r="P110" s="8">
        <v>1475400</v>
      </c>
      <c r="Q110" s="8">
        <v>0</v>
      </c>
      <c r="R110" s="8">
        <v>362383</v>
      </c>
      <c r="S110" s="8">
        <v>7855761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454090</v>
      </c>
      <c r="Z110" s="8">
        <v>348525</v>
      </c>
      <c r="AA110" s="8">
        <v>407713</v>
      </c>
      <c r="AB110" s="8">
        <v>0</v>
      </c>
      <c r="AC110" s="8">
        <v>0</v>
      </c>
      <c r="AD110" s="8">
        <v>0</v>
      </c>
      <c r="AE110" s="8">
        <v>0</v>
      </c>
      <c r="AF110" s="8">
        <v>9066089</v>
      </c>
      <c r="AG110" s="8">
        <v>157115</v>
      </c>
      <c r="AH110" s="8">
        <v>78558</v>
      </c>
      <c r="AI110" s="8">
        <v>78558</v>
      </c>
      <c r="AJ110" s="8">
        <v>0</v>
      </c>
      <c r="AK110" s="8">
        <v>90661</v>
      </c>
      <c r="AL110" s="8">
        <v>0</v>
      </c>
      <c r="AM110" s="8">
        <v>407713</v>
      </c>
      <c r="AN110" s="8">
        <v>0</v>
      </c>
      <c r="AO110" s="8">
        <v>0</v>
      </c>
      <c r="AP110" s="8">
        <v>35500</v>
      </c>
      <c r="AQ110" s="8">
        <v>0</v>
      </c>
      <c r="AR110" s="8">
        <v>0</v>
      </c>
      <c r="AS110" s="8">
        <v>0</v>
      </c>
      <c r="AT110" s="8">
        <v>0</v>
      </c>
      <c r="AU110" s="8">
        <v>848105</v>
      </c>
      <c r="AV110" s="8">
        <v>0</v>
      </c>
      <c r="AW110" s="8">
        <v>8217984</v>
      </c>
    </row>
    <row r="111" spans="1:49">
      <c r="A111" s="15">
        <f t="shared" si="4"/>
        <v>19</v>
      </c>
      <c r="B111" s="16" t="s">
        <v>123</v>
      </c>
      <c r="C111" s="10">
        <v>46082</v>
      </c>
      <c r="D111" s="7" t="s">
        <v>79</v>
      </c>
      <c r="E111" s="7" t="s">
        <v>99</v>
      </c>
      <c r="F111" s="7">
        <v>120000</v>
      </c>
      <c r="G111" s="7" t="s">
        <v>212</v>
      </c>
      <c r="H111" s="7">
        <v>850</v>
      </c>
      <c r="I111" s="7" t="s">
        <v>385</v>
      </c>
      <c r="J111" s="7" t="s">
        <v>456</v>
      </c>
      <c r="K111" s="7" t="s">
        <v>386</v>
      </c>
      <c r="L111" s="7"/>
      <c r="M111" s="7" t="s">
        <v>387</v>
      </c>
      <c r="N111" s="7" t="s">
        <v>47</v>
      </c>
      <c r="O111" s="8">
        <v>7005137</v>
      </c>
      <c r="P111" s="8">
        <v>1495800</v>
      </c>
      <c r="Q111" s="8">
        <v>0</v>
      </c>
      <c r="R111" s="8">
        <v>490385</v>
      </c>
      <c r="S111" s="8">
        <v>8991322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325290</v>
      </c>
      <c r="AA111" s="8">
        <v>466650</v>
      </c>
      <c r="AB111" s="8">
        <v>0</v>
      </c>
      <c r="AC111" s="8">
        <v>0</v>
      </c>
      <c r="AD111" s="8">
        <v>0</v>
      </c>
      <c r="AE111" s="8">
        <v>0</v>
      </c>
      <c r="AF111" s="8">
        <v>9783262</v>
      </c>
      <c r="AG111" s="8">
        <v>179826</v>
      </c>
      <c r="AH111" s="8">
        <v>89913</v>
      </c>
      <c r="AI111" s="8">
        <v>89913</v>
      </c>
      <c r="AJ111" s="8">
        <v>0</v>
      </c>
      <c r="AK111" s="8">
        <v>146749</v>
      </c>
      <c r="AL111" s="8">
        <v>0</v>
      </c>
      <c r="AM111" s="8">
        <v>466650</v>
      </c>
      <c r="AN111" s="8">
        <v>0</v>
      </c>
      <c r="AO111" s="8">
        <v>0</v>
      </c>
      <c r="AP111" s="8">
        <v>35500</v>
      </c>
      <c r="AQ111" s="8">
        <v>0</v>
      </c>
      <c r="AR111" s="8">
        <v>0</v>
      </c>
      <c r="AS111" s="8">
        <v>100000</v>
      </c>
      <c r="AT111" s="8">
        <v>0</v>
      </c>
      <c r="AU111" s="8">
        <v>1108551</v>
      </c>
      <c r="AV111" s="8">
        <v>0</v>
      </c>
      <c r="AW111" s="8">
        <v>8674711</v>
      </c>
    </row>
    <row r="112" spans="1:49">
      <c r="A112" s="15">
        <f t="shared" si="4"/>
        <v>20</v>
      </c>
      <c r="B112" s="16" t="s">
        <v>123</v>
      </c>
      <c r="C112" s="10">
        <v>46082</v>
      </c>
      <c r="D112" s="7" t="s">
        <v>79</v>
      </c>
      <c r="E112" s="7" t="s">
        <v>99</v>
      </c>
      <c r="F112" s="7">
        <v>120000</v>
      </c>
      <c r="G112" s="7" t="s">
        <v>212</v>
      </c>
      <c r="H112" s="7">
        <v>850</v>
      </c>
      <c r="I112" s="7" t="s">
        <v>385</v>
      </c>
      <c r="J112" s="7" t="s">
        <v>456</v>
      </c>
      <c r="K112" s="7" t="s">
        <v>388</v>
      </c>
      <c r="L112" s="7"/>
      <c r="M112" s="7" t="s">
        <v>389</v>
      </c>
      <c r="N112" s="7" t="s">
        <v>67</v>
      </c>
      <c r="O112" s="8">
        <v>4583890</v>
      </c>
      <c r="P112" s="8">
        <v>1175000</v>
      </c>
      <c r="Q112" s="8">
        <v>0</v>
      </c>
      <c r="R112" s="8">
        <v>127963</v>
      </c>
      <c r="S112" s="8">
        <v>5886853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302055</v>
      </c>
      <c r="AA112" s="8">
        <v>305528</v>
      </c>
      <c r="AB112" s="8">
        <v>0</v>
      </c>
      <c r="AC112" s="8">
        <v>0</v>
      </c>
      <c r="AD112" s="8">
        <v>0</v>
      </c>
      <c r="AE112" s="8">
        <v>0</v>
      </c>
      <c r="AF112" s="8">
        <v>6494436</v>
      </c>
      <c r="AG112" s="8">
        <v>117737</v>
      </c>
      <c r="AH112" s="8">
        <v>58869</v>
      </c>
      <c r="AI112" s="8">
        <v>58869</v>
      </c>
      <c r="AJ112" s="8">
        <v>0</v>
      </c>
      <c r="AK112" s="8">
        <v>64944</v>
      </c>
      <c r="AL112" s="8">
        <v>0</v>
      </c>
      <c r="AM112" s="8">
        <v>305528</v>
      </c>
      <c r="AN112" s="8">
        <v>0</v>
      </c>
      <c r="AO112" s="8">
        <v>0</v>
      </c>
      <c r="AP112" s="8">
        <v>0</v>
      </c>
      <c r="AQ112" s="8">
        <v>0</v>
      </c>
      <c r="AR112" s="8">
        <v>0</v>
      </c>
      <c r="AS112" s="8">
        <v>0</v>
      </c>
      <c r="AT112" s="8">
        <v>0</v>
      </c>
      <c r="AU112" s="8">
        <v>605947</v>
      </c>
      <c r="AV112" s="8">
        <v>0</v>
      </c>
      <c r="AW112" s="8">
        <v>5888489</v>
      </c>
    </row>
    <row r="113" spans="1:49">
      <c r="A113" s="15">
        <f t="shared" si="4"/>
        <v>21</v>
      </c>
      <c r="B113" s="16" t="s">
        <v>123</v>
      </c>
      <c r="C113" s="10">
        <v>46082</v>
      </c>
      <c r="D113" s="7" t="s">
        <v>79</v>
      </c>
      <c r="E113" s="7" t="s">
        <v>99</v>
      </c>
      <c r="F113" s="7">
        <v>120000</v>
      </c>
      <c r="G113" s="7" t="s">
        <v>212</v>
      </c>
      <c r="H113" s="7">
        <v>851</v>
      </c>
      <c r="I113" s="7" t="s">
        <v>216</v>
      </c>
      <c r="J113" s="7" t="s">
        <v>456</v>
      </c>
      <c r="K113" s="7" t="s">
        <v>390</v>
      </c>
      <c r="L113" s="7"/>
      <c r="M113" s="7" t="s">
        <v>391</v>
      </c>
      <c r="N113" s="7" t="s">
        <v>47</v>
      </c>
      <c r="O113" s="8">
        <v>5829481</v>
      </c>
      <c r="P113" s="8">
        <v>1470300</v>
      </c>
      <c r="Q113" s="8">
        <v>0</v>
      </c>
      <c r="R113" s="8">
        <v>322300</v>
      </c>
      <c r="S113" s="8">
        <v>7622081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396524</v>
      </c>
      <c r="Z113" s="8">
        <v>302055</v>
      </c>
      <c r="AA113" s="8">
        <v>395586</v>
      </c>
      <c r="AB113" s="8">
        <v>0</v>
      </c>
      <c r="AC113" s="8">
        <v>0</v>
      </c>
      <c r="AD113" s="8">
        <v>0</v>
      </c>
      <c r="AE113" s="8">
        <v>0</v>
      </c>
      <c r="AF113" s="8">
        <v>8716246</v>
      </c>
      <c r="AG113" s="8">
        <v>152442</v>
      </c>
      <c r="AH113" s="8">
        <v>76221</v>
      </c>
      <c r="AI113" s="8">
        <v>76221</v>
      </c>
      <c r="AJ113" s="8">
        <v>0</v>
      </c>
      <c r="AK113" s="8">
        <v>87162</v>
      </c>
      <c r="AL113" s="8">
        <v>0</v>
      </c>
      <c r="AM113" s="8">
        <v>395586</v>
      </c>
      <c r="AN113" s="8">
        <v>0</v>
      </c>
      <c r="AO113" s="8">
        <v>0</v>
      </c>
      <c r="AP113" s="8">
        <v>35500</v>
      </c>
      <c r="AQ113" s="8">
        <v>0</v>
      </c>
      <c r="AR113" s="8">
        <v>0</v>
      </c>
      <c r="AS113" s="8">
        <v>1150000</v>
      </c>
      <c r="AT113" s="8">
        <v>0</v>
      </c>
      <c r="AU113" s="8">
        <v>1973132</v>
      </c>
      <c r="AV113" s="8">
        <v>0</v>
      </c>
      <c r="AW113" s="8">
        <v>6743114</v>
      </c>
    </row>
    <row r="114" spans="1:49">
      <c r="A114" s="15">
        <f t="shared" si="4"/>
        <v>22</v>
      </c>
      <c r="B114" s="16" t="s">
        <v>123</v>
      </c>
      <c r="C114" s="10">
        <v>46082</v>
      </c>
      <c r="D114" s="7" t="s">
        <v>79</v>
      </c>
      <c r="E114" s="7" t="s">
        <v>99</v>
      </c>
      <c r="F114" s="7">
        <v>150000</v>
      </c>
      <c r="G114" s="7" t="s">
        <v>142</v>
      </c>
      <c r="H114" s="7">
        <v>808</v>
      </c>
      <c r="I114" s="7" t="s">
        <v>380</v>
      </c>
      <c r="J114" s="7" t="s">
        <v>456</v>
      </c>
      <c r="K114" s="7" t="s">
        <v>392</v>
      </c>
      <c r="L114" s="7"/>
      <c r="M114" s="7" t="s">
        <v>393</v>
      </c>
      <c r="N114" s="7" t="s">
        <v>47</v>
      </c>
      <c r="O114" s="8">
        <v>5709795</v>
      </c>
      <c r="P114" s="8">
        <v>1435000</v>
      </c>
      <c r="Q114" s="8">
        <v>0</v>
      </c>
      <c r="R114" s="8">
        <v>436306</v>
      </c>
      <c r="S114" s="8">
        <v>7581101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325290</v>
      </c>
      <c r="AA114" s="8">
        <v>393459</v>
      </c>
      <c r="AB114" s="8">
        <v>0</v>
      </c>
      <c r="AC114" s="8">
        <v>0</v>
      </c>
      <c r="AD114" s="8">
        <v>0</v>
      </c>
      <c r="AE114" s="8">
        <v>0</v>
      </c>
      <c r="AF114" s="8">
        <v>8299850</v>
      </c>
      <c r="AG114" s="8">
        <v>151622</v>
      </c>
      <c r="AH114" s="8">
        <v>75811</v>
      </c>
      <c r="AI114" s="8">
        <v>75811</v>
      </c>
      <c r="AJ114" s="8">
        <v>0</v>
      </c>
      <c r="AK114" s="8">
        <v>82999</v>
      </c>
      <c r="AL114" s="8">
        <v>0</v>
      </c>
      <c r="AM114" s="8">
        <v>393459</v>
      </c>
      <c r="AN114" s="8">
        <v>0</v>
      </c>
      <c r="AO114" s="8">
        <v>0</v>
      </c>
      <c r="AP114" s="8">
        <v>35500</v>
      </c>
      <c r="AQ114" s="8">
        <v>0</v>
      </c>
      <c r="AR114" s="8">
        <v>0</v>
      </c>
      <c r="AS114" s="8">
        <v>0</v>
      </c>
      <c r="AT114" s="8">
        <v>0</v>
      </c>
      <c r="AU114" s="8">
        <v>815202</v>
      </c>
      <c r="AV114" s="8">
        <v>0</v>
      </c>
      <c r="AW114" s="8">
        <v>7484648</v>
      </c>
    </row>
    <row r="115" spans="1:49">
      <c r="A115" s="15">
        <f t="shared" si="4"/>
        <v>23</v>
      </c>
      <c r="B115" s="16" t="s">
        <v>123</v>
      </c>
      <c r="C115" s="10">
        <v>46082</v>
      </c>
      <c r="D115" s="7" t="s">
        <v>79</v>
      </c>
      <c r="E115" s="7" t="s">
        <v>99</v>
      </c>
      <c r="F115" s="7">
        <v>190000</v>
      </c>
      <c r="G115" s="7" t="s">
        <v>256</v>
      </c>
      <c r="H115" s="7">
        <v>817</v>
      </c>
      <c r="I115" s="7" t="s">
        <v>394</v>
      </c>
      <c r="J115" s="7" t="s">
        <v>456</v>
      </c>
      <c r="K115" s="7" t="s">
        <v>395</v>
      </c>
      <c r="L115" s="7"/>
      <c r="M115" s="7" t="s">
        <v>396</v>
      </c>
      <c r="N115" s="7" t="s">
        <v>47</v>
      </c>
      <c r="O115" s="8">
        <v>4958446</v>
      </c>
      <c r="P115" s="8">
        <v>1445000</v>
      </c>
      <c r="Q115" s="8">
        <v>0</v>
      </c>
      <c r="R115" s="8">
        <v>416030</v>
      </c>
      <c r="S115" s="8">
        <v>6819476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689831</v>
      </c>
      <c r="Z115" s="8">
        <v>325290</v>
      </c>
      <c r="AA115" s="8">
        <v>353930</v>
      </c>
      <c r="AB115" s="8">
        <v>0</v>
      </c>
      <c r="AC115" s="8">
        <v>0</v>
      </c>
      <c r="AD115" s="8">
        <v>0</v>
      </c>
      <c r="AE115" s="8">
        <v>0</v>
      </c>
      <c r="AF115" s="8">
        <v>8188527</v>
      </c>
      <c r="AG115" s="8">
        <v>136390</v>
      </c>
      <c r="AH115" s="8">
        <v>68195</v>
      </c>
      <c r="AI115" s="8">
        <v>68195</v>
      </c>
      <c r="AJ115" s="8">
        <v>0</v>
      </c>
      <c r="AK115" s="8">
        <v>81885</v>
      </c>
      <c r="AL115" s="8">
        <v>0</v>
      </c>
      <c r="AM115" s="8">
        <v>353930</v>
      </c>
      <c r="AN115" s="8">
        <v>0</v>
      </c>
      <c r="AO115" s="8">
        <v>0</v>
      </c>
      <c r="AP115" s="8">
        <v>35500</v>
      </c>
      <c r="AQ115" s="8">
        <v>0</v>
      </c>
      <c r="AR115" s="8">
        <v>0</v>
      </c>
      <c r="AS115" s="8">
        <v>1850000</v>
      </c>
      <c r="AT115" s="8">
        <v>0</v>
      </c>
      <c r="AU115" s="8">
        <v>2594095</v>
      </c>
      <c r="AV115" s="8">
        <v>0</v>
      </c>
      <c r="AW115" s="8">
        <v>5594432</v>
      </c>
    </row>
    <row r="116" spans="1:49">
      <c r="A116" s="15">
        <f t="shared" si="4"/>
        <v>24</v>
      </c>
      <c r="B116" s="16" t="s">
        <v>123</v>
      </c>
      <c r="C116" s="10">
        <v>46082</v>
      </c>
      <c r="D116" s="7" t="s">
        <v>79</v>
      </c>
      <c r="E116" s="7" t="s">
        <v>99</v>
      </c>
      <c r="F116" s="7">
        <v>200000</v>
      </c>
      <c r="G116" s="7" t="s">
        <v>146</v>
      </c>
      <c r="H116" s="7">
        <v>806</v>
      </c>
      <c r="I116" s="7" t="s">
        <v>377</v>
      </c>
      <c r="J116" s="7" t="s">
        <v>456</v>
      </c>
      <c r="K116" s="7" t="s">
        <v>397</v>
      </c>
      <c r="L116" s="7"/>
      <c r="M116" s="7" t="s">
        <v>398</v>
      </c>
      <c r="N116" s="7" t="s">
        <v>67</v>
      </c>
      <c r="O116" s="8">
        <v>4583890</v>
      </c>
      <c r="P116" s="8">
        <v>1175000</v>
      </c>
      <c r="Q116" s="8">
        <v>0</v>
      </c>
      <c r="R116" s="8">
        <v>127963</v>
      </c>
      <c r="S116" s="8">
        <v>5886853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476393</v>
      </c>
      <c r="Z116" s="8">
        <v>348525</v>
      </c>
      <c r="AA116" s="8">
        <v>305528</v>
      </c>
      <c r="AB116" s="8">
        <v>0</v>
      </c>
      <c r="AC116" s="8">
        <v>0</v>
      </c>
      <c r="AD116" s="8">
        <v>0</v>
      </c>
      <c r="AE116" s="8">
        <v>0</v>
      </c>
      <c r="AF116" s="8">
        <v>7017299</v>
      </c>
      <c r="AG116" s="8">
        <v>117737</v>
      </c>
      <c r="AH116" s="8">
        <v>58869</v>
      </c>
      <c r="AI116" s="8">
        <v>58869</v>
      </c>
      <c r="AJ116" s="8">
        <v>0</v>
      </c>
      <c r="AK116" s="8">
        <v>87716</v>
      </c>
      <c r="AL116" s="8">
        <v>0</v>
      </c>
      <c r="AM116" s="8">
        <v>305528</v>
      </c>
      <c r="AN116" s="8">
        <v>0</v>
      </c>
      <c r="AO116" s="8">
        <v>0</v>
      </c>
      <c r="AP116" s="8">
        <v>0</v>
      </c>
      <c r="AQ116" s="8">
        <v>0</v>
      </c>
      <c r="AR116" s="8">
        <v>0</v>
      </c>
      <c r="AS116" s="8">
        <v>0</v>
      </c>
      <c r="AT116" s="8">
        <v>0</v>
      </c>
      <c r="AU116" s="8">
        <v>628719</v>
      </c>
      <c r="AV116" s="8">
        <v>0</v>
      </c>
      <c r="AW116" s="8">
        <v>6388580</v>
      </c>
    </row>
    <row r="117" spans="1:49">
      <c r="A117" s="15">
        <f t="shared" si="4"/>
        <v>25</v>
      </c>
      <c r="B117" s="16" t="s">
        <v>123</v>
      </c>
      <c r="C117" s="10">
        <v>46082</v>
      </c>
      <c r="D117" s="7" t="s">
        <v>79</v>
      </c>
      <c r="E117" s="7" t="s">
        <v>99</v>
      </c>
      <c r="F117" s="7">
        <v>200000</v>
      </c>
      <c r="G117" s="7" t="s">
        <v>146</v>
      </c>
      <c r="H117" s="7">
        <v>810</v>
      </c>
      <c r="I117" s="7" t="s">
        <v>399</v>
      </c>
      <c r="J117" s="7" t="s">
        <v>456</v>
      </c>
      <c r="K117" s="7" t="s">
        <v>400</v>
      </c>
      <c r="L117" s="7"/>
      <c r="M117" s="7" t="s">
        <v>401</v>
      </c>
      <c r="N117" s="7" t="s">
        <v>67</v>
      </c>
      <c r="O117" s="8">
        <v>4470636</v>
      </c>
      <c r="P117" s="8">
        <v>1310000</v>
      </c>
      <c r="Q117" s="8">
        <v>0</v>
      </c>
      <c r="R117" s="8">
        <v>288324</v>
      </c>
      <c r="S117" s="8">
        <v>6068960</v>
      </c>
      <c r="T117" s="8">
        <v>0</v>
      </c>
      <c r="U117" s="8">
        <v>0</v>
      </c>
      <c r="V117" s="8">
        <v>63000</v>
      </c>
      <c r="W117" s="8">
        <v>0</v>
      </c>
      <c r="X117" s="8">
        <v>0</v>
      </c>
      <c r="Y117" s="8">
        <v>315726</v>
      </c>
      <c r="Z117" s="8">
        <v>162645</v>
      </c>
      <c r="AA117" s="8">
        <v>314979</v>
      </c>
      <c r="AB117" s="8">
        <v>0</v>
      </c>
      <c r="AC117" s="8">
        <v>0</v>
      </c>
      <c r="AD117" s="8">
        <v>0</v>
      </c>
      <c r="AE117" s="8">
        <v>0</v>
      </c>
      <c r="AF117" s="8">
        <v>6925310</v>
      </c>
      <c r="AG117" s="8">
        <v>121379</v>
      </c>
      <c r="AH117" s="8">
        <v>60690</v>
      </c>
      <c r="AI117" s="8">
        <v>60690</v>
      </c>
      <c r="AJ117" s="8">
        <v>0</v>
      </c>
      <c r="AK117" s="8">
        <v>51940</v>
      </c>
      <c r="AL117" s="8">
        <v>0</v>
      </c>
      <c r="AM117" s="8">
        <v>314979</v>
      </c>
      <c r="AN117" s="8">
        <v>0</v>
      </c>
      <c r="AO117" s="8">
        <v>0</v>
      </c>
      <c r="AP117" s="8">
        <v>0</v>
      </c>
      <c r="AQ117" s="8">
        <v>0</v>
      </c>
      <c r="AR117" s="8">
        <v>0</v>
      </c>
      <c r="AS117" s="8">
        <v>0</v>
      </c>
      <c r="AT117" s="8">
        <v>0</v>
      </c>
      <c r="AU117" s="8">
        <v>609678</v>
      </c>
      <c r="AV117" s="8">
        <v>0</v>
      </c>
      <c r="AW117" s="8">
        <v>6315632</v>
      </c>
    </row>
    <row r="118" spans="1:49">
      <c r="A118" s="15">
        <f t="shared" si="4"/>
        <v>26</v>
      </c>
      <c r="B118" s="16" t="s">
        <v>123</v>
      </c>
      <c r="C118" s="10">
        <v>46082</v>
      </c>
      <c r="D118" s="7" t="s">
        <v>79</v>
      </c>
      <c r="E118" s="7" t="s">
        <v>99</v>
      </c>
      <c r="F118" s="7">
        <v>200000</v>
      </c>
      <c r="G118" s="7" t="s">
        <v>146</v>
      </c>
      <c r="H118" s="7">
        <v>810</v>
      </c>
      <c r="I118" s="7" t="s">
        <v>399</v>
      </c>
      <c r="J118" s="7" t="s">
        <v>456</v>
      </c>
      <c r="K118" s="7" t="s">
        <v>402</v>
      </c>
      <c r="L118" s="7"/>
      <c r="M118" s="7" t="s">
        <v>403</v>
      </c>
      <c r="N118" s="7" t="s">
        <v>67</v>
      </c>
      <c r="O118" s="8">
        <v>4334351</v>
      </c>
      <c r="P118" s="8">
        <v>1310000</v>
      </c>
      <c r="Q118" s="8">
        <v>0</v>
      </c>
      <c r="R118" s="8">
        <v>242502</v>
      </c>
      <c r="S118" s="8">
        <v>5886853</v>
      </c>
      <c r="T118" s="8">
        <v>0</v>
      </c>
      <c r="U118" s="8">
        <v>0</v>
      </c>
      <c r="V118" s="8">
        <v>81000</v>
      </c>
      <c r="W118" s="8">
        <v>0</v>
      </c>
      <c r="X118" s="8">
        <v>0</v>
      </c>
      <c r="Y118" s="8">
        <v>0</v>
      </c>
      <c r="Z118" s="8">
        <v>92940</v>
      </c>
      <c r="AA118" s="8">
        <v>305528</v>
      </c>
      <c r="AB118" s="8">
        <v>0</v>
      </c>
      <c r="AC118" s="8">
        <v>-280326</v>
      </c>
      <c r="AD118" s="8">
        <v>0</v>
      </c>
      <c r="AE118" s="8">
        <v>0</v>
      </c>
      <c r="AF118" s="8">
        <v>6085995</v>
      </c>
      <c r="AG118" s="8">
        <v>117737</v>
      </c>
      <c r="AH118" s="8">
        <v>58869</v>
      </c>
      <c r="AI118" s="8">
        <v>58869</v>
      </c>
      <c r="AJ118" s="8">
        <v>0</v>
      </c>
      <c r="AK118" s="8">
        <v>45645</v>
      </c>
      <c r="AL118" s="8">
        <v>0</v>
      </c>
      <c r="AM118" s="8">
        <v>305528</v>
      </c>
      <c r="AN118" s="8">
        <v>0</v>
      </c>
      <c r="AO118" s="8">
        <v>0</v>
      </c>
      <c r="AP118" s="8">
        <v>0</v>
      </c>
      <c r="AQ118" s="8">
        <v>0</v>
      </c>
      <c r="AR118" s="8">
        <v>0</v>
      </c>
      <c r="AS118" s="8">
        <v>0</v>
      </c>
      <c r="AT118" s="8">
        <v>0</v>
      </c>
      <c r="AU118" s="8">
        <v>586648</v>
      </c>
      <c r="AV118" s="8">
        <v>0</v>
      </c>
      <c r="AW118" s="8">
        <v>5499347</v>
      </c>
    </row>
    <row r="119" spans="1:49">
      <c r="A119" s="15">
        <f t="shared" si="4"/>
        <v>27</v>
      </c>
      <c r="B119" s="16" t="s">
        <v>123</v>
      </c>
      <c r="C119" s="10">
        <v>46082</v>
      </c>
      <c r="D119" s="7" t="s">
        <v>79</v>
      </c>
      <c r="E119" s="7" t="s">
        <v>99</v>
      </c>
      <c r="F119" s="7">
        <v>200000</v>
      </c>
      <c r="G119" s="7" t="s">
        <v>146</v>
      </c>
      <c r="H119" s="7">
        <v>810</v>
      </c>
      <c r="I119" s="7" t="s">
        <v>399</v>
      </c>
      <c r="J119" s="7" t="s">
        <v>456</v>
      </c>
      <c r="K119" s="7" t="s">
        <v>404</v>
      </c>
      <c r="L119" s="7"/>
      <c r="M119" s="7" t="s">
        <v>405</v>
      </c>
      <c r="N119" s="7" t="s">
        <v>67</v>
      </c>
      <c r="O119" s="8">
        <v>4355960</v>
      </c>
      <c r="P119" s="8">
        <v>1310000</v>
      </c>
      <c r="Q119" s="8">
        <v>0</v>
      </c>
      <c r="R119" s="8">
        <v>282055</v>
      </c>
      <c r="S119" s="8">
        <v>5948015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302055</v>
      </c>
      <c r="AA119" s="8">
        <v>308702</v>
      </c>
      <c r="AB119" s="8">
        <v>0</v>
      </c>
      <c r="AC119" s="8">
        <v>-283239</v>
      </c>
      <c r="AD119" s="8">
        <v>0</v>
      </c>
      <c r="AE119" s="8">
        <v>0</v>
      </c>
      <c r="AF119" s="8">
        <v>6275533</v>
      </c>
      <c r="AG119" s="8">
        <v>118960</v>
      </c>
      <c r="AH119" s="8">
        <v>59480</v>
      </c>
      <c r="AI119" s="8">
        <v>59480</v>
      </c>
      <c r="AJ119" s="8">
        <v>0</v>
      </c>
      <c r="AK119" s="8">
        <v>15689</v>
      </c>
      <c r="AL119" s="8">
        <v>0</v>
      </c>
      <c r="AM119" s="8">
        <v>308702</v>
      </c>
      <c r="AN119" s="8">
        <v>0</v>
      </c>
      <c r="AO119" s="8">
        <v>0</v>
      </c>
      <c r="AP119" s="8">
        <v>0</v>
      </c>
      <c r="AQ119" s="8">
        <v>0</v>
      </c>
      <c r="AR119" s="8">
        <v>0</v>
      </c>
      <c r="AS119" s="8">
        <v>0</v>
      </c>
      <c r="AT119" s="8">
        <v>0</v>
      </c>
      <c r="AU119" s="8">
        <v>562311</v>
      </c>
      <c r="AV119" s="8">
        <v>0</v>
      </c>
      <c r="AW119" s="8">
        <v>5713222</v>
      </c>
    </row>
    <row r="120" spans="1:49">
      <c r="A120" s="15">
        <f t="shared" si="4"/>
        <v>28</v>
      </c>
      <c r="B120" s="16" t="s">
        <v>123</v>
      </c>
      <c r="C120" s="10">
        <v>46082</v>
      </c>
      <c r="D120" s="7" t="s">
        <v>79</v>
      </c>
      <c r="E120" s="7" t="s">
        <v>99</v>
      </c>
      <c r="F120" s="7">
        <v>200000</v>
      </c>
      <c r="G120" s="7" t="s">
        <v>146</v>
      </c>
      <c r="H120" s="7">
        <v>810</v>
      </c>
      <c r="I120" s="7" t="s">
        <v>399</v>
      </c>
      <c r="J120" s="7" t="s">
        <v>456</v>
      </c>
      <c r="K120" s="7" t="s">
        <v>406</v>
      </c>
      <c r="L120" s="7"/>
      <c r="M120" s="7" t="s">
        <v>407</v>
      </c>
      <c r="N120" s="7" t="s">
        <v>47</v>
      </c>
      <c r="O120" s="8">
        <v>5018915</v>
      </c>
      <c r="P120" s="8">
        <v>1435000</v>
      </c>
      <c r="Q120" s="8">
        <v>0</v>
      </c>
      <c r="R120" s="8">
        <v>386041</v>
      </c>
      <c r="S120" s="8">
        <v>6839956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968664</v>
      </c>
      <c r="Z120" s="8">
        <v>325290</v>
      </c>
      <c r="AA120" s="8">
        <v>354994</v>
      </c>
      <c r="AB120" s="8">
        <v>0</v>
      </c>
      <c r="AC120" s="8">
        <v>0</v>
      </c>
      <c r="AD120" s="8">
        <v>0</v>
      </c>
      <c r="AE120" s="8">
        <v>0</v>
      </c>
      <c r="AF120" s="8">
        <v>8488904</v>
      </c>
      <c r="AG120" s="8">
        <v>136799</v>
      </c>
      <c r="AH120" s="8">
        <v>68400</v>
      </c>
      <c r="AI120" s="8">
        <v>68400</v>
      </c>
      <c r="AJ120" s="8">
        <v>0</v>
      </c>
      <c r="AK120" s="8">
        <v>84889</v>
      </c>
      <c r="AL120" s="8">
        <v>0</v>
      </c>
      <c r="AM120" s="8">
        <v>354994</v>
      </c>
      <c r="AN120" s="8">
        <v>0</v>
      </c>
      <c r="AO120" s="8">
        <v>0</v>
      </c>
      <c r="AP120" s="8">
        <v>35500</v>
      </c>
      <c r="AQ120" s="8">
        <v>0</v>
      </c>
      <c r="AR120" s="8">
        <v>0</v>
      </c>
      <c r="AS120" s="8">
        <v>0</v>
      </c>
      <c r="AT120" s="8">
        <v>0</v>
      </c>
      <c r="AU120" s="8">
        <v>748982</v>
      </c>
      <c r="AV120" s="8">
        <v>0</v>
      </c>
      <c r="AW120" s="8">
        <v>7739922</v>
      </c>
    </row>
    <row r="121" spans="1:49">
      <c r="A121" s="15">
        <f t="shared" si="4"/>
        <v>29</v>
      </c>
      <c r="B121" s="16" t="s">
        <v>123</v>
      </c>
      <c r="C121" s="10">
        <v>46082</v>
      </c>
      <c r="D121" s="7" t="s">
        <v>79</v>
      </c>
      <c r="E121" s="7" t="s">
        <v>99</v>
      </c>
      <c r="F121" s="7">
        <v>200000</v>
      </c>
      <c r="G121" s="7" t="s">
        <v>146</v>
      </c>
      <c r="H121" s="7">
        <v>810</v>
      </c>
      <c r="I121" s="7" t="s">
        <v>399</v>
      </c>
      <c r="J121" s="7" t="s">
        <v>456</v>
      </c>
      <c r="K121" s="7" t="s">
        <v>408</v>
      </c>
      <c r="L121" s="7"/>
      <c r="M121" s="7" t="s">
        <v>409</v>
      </c>
      <c r="N121" s="7" t="s">
        <v>47</v>
      </c>
      <c r="O121" s="8">
        <v>6753501</v>
      </c>
      <c r="P121" s="8">
        <v>1470300</v>
      </c>
      <c r="Q121" s="8">
        <v>0</v>
      </c>
      <c r="R121" s="8">
        <v>597668</v>
      </c>
      <c r="S121" s="8">
        <v>8821469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325290</v>
      </c>
      <c r="AA121" s="8">
        <v>457834</v>
      </c>
      <c r="AB121" s="8">
        <v>0</v>
      </c>
      <c r="AC121" s="8">
        <v>0</v>
      </c>
      <c r="AD121" s="8">
        <v>0</v>
      </c>
      <c r="AE121" s="8">
        <v>0</v>
      </c>
      <c r="AF121" s="8">
        <v>9604593</v>
      </c>
      <c r="AG121" s="8">
        <v>176429</v>
      </c>
      <c r="AH121" s="8">
        <v>88215</v>
      </c>
      <c r="AI121" s="8">
        <v>88215</v>
      </c>
      <c r="AJ121" s="8">
        <v>0</v>
      </c>
      <c r="AK121" s="8">
        <v>144069</v>
      </c>
      <c r="AL121" s="8">
        <v>0</v>
      </c>
      <c r="AM121" s="8">
        <v>457834</v>
      </c>
      <c r="AN121" s="8">
        <v>0</v>
      </c>
      <c r="AO121" s="8">
        <v>0</v>
      </c>
      <c r="AP121" s="8">
        <v>35500</v>
      </c>
      <c r="AQ121" s="8">
        <v>0</v>
      </c>
      <c r="AR121" s="8">
        <v>-98000</v>
      </c>
      <c r="AS121" s="8">
        <v>0</v>
      </c>
      <c r="AT121" s="8">
        <v>0</v>
      </c>
      <c r="AU121" s="8">
        <v>892262</v>
      </c>
      <c r="AV121" s="8">
        <v>0</v>
      </c>
      <c r="AW121" s="8">
        <v>8712331</v>
      </c>
    </row>
    <row r="122" spans="1:49">
      <c r="A122" s="15">
        <f t="shared" si="4"/>
        <v>30</v>
      </c>
      <c r="B122" s="16" t="s">
        <v>123</v>
      </c>
      <c r="C122" s="10">
        <v>46082</v>
      </c>
      <c r="D122" s="7" t="s">
        <v>79</v>
      </c>
      <c r="E122" s="7" t="s">
        <v>99</v>
      </c>
      <c r="F122" s="7">
        <v>200000</v>
      </c>
      <c r="G122" s="7" t="s">
        <v>146</v>
      </c>
      <c r="H122" s="7">
        <v>810</v>
      </c>
      <c r="I122" s="7" t="s">
        <v>399</v>
      </c>
      <c r="J122" s="7" t="s">
        <v>456</v>
      </c>
      <c r="K122" s="7" t="s">
        <v>410</v>
      </c>
      <c r="L122" s="7"/>
      <c r="M122" s="7" t="s">
        <v>411</v>
      </c>
      <c r="N122" s="7" t="s">
        <v>47</v>
      </c>
      <c r="O122" s="8">
        <v>5572841</v>
      </c>
      <c r="P122" s="8">
        <v>1470300</v>
      </c>
      <c r="Q122" s="8">
        <v>0</v>
      </c>
      <c r="R122" s="8">
        <v>350329</v>
      </c>
      <c r="S122" s="8">
        <v>7393470</v>
      </c>
      <c r="T122" s="8">
        <v>0</v>
      </c>
      <c r="U122" s="8">
        <v>0</v>
      </c>
      <c r="V122" s="8">
        <v>54000</v>
      </c>
      <c r="W122" s="8">
        <v>0</v>
      </c>
      <c r="X122" s="8">
        <v>0</v>
      </c>
      <c r="Y122" s="8">
        <v>0</v>
      </c>
      <c r="Z122" s="8">
        <v>209115</v>
      </c>
      <c r="AA122" s="8">
        <v>383721</v>
      </c>
      <c r="AB122" s="8">
        <v>0</v>
      </c>
      <c r="AC122" s="8">
        <v>0</v>
      </c>
      <c r="AD122" s="8">
        <v>0</v>
      </c>
      <c r="AE122" s="8">
        <v>0</v>
      </c>
      <c r="AF122" s="8">
        <v>8040306</v>
      </c>
      <c r="AG122" s="8">
        <v>147869</v>
      </c>
      <c r="AH122" s="8">
        <v>73935</v>
      </c>
      <c r="AI122" s="8">
        <v>73935</v>
      </c>
      <c r="AJ122" s="8">
        <v>0</v>
      </c>
      <c r="AK122" s="8">
        <v>80403</v>
      </c>
      <c r="AL122" s="8">
        <v>0</v>
      </c>
      <c r="AM122" s="8">
        <v>383721</v>
      </c>
      <c r="AN122" s="8">
        <v>0</v>
      </c>
      <c r="AO122" s="8">
        <v>0</v>
      </c>
      <c r="AP122" s="8">
        <v>35500</v>
      </c>
      <c r="AQ122" s="8">
        <v>0</v>
      </c>
      <c r="AR122" s="8">
        <v>0</v>
      </c>
      <c r="AS122" s="8">
        <v>2636218</v>
      </c>
      <c r="AT122" s="8">
        <v>0</v>
      </c>
      <c r="AU122" s="8">
        <v>3431581</v>
      </c>
      <c r="AV122" s="8">
        <v>0</v>
      </c>
      <c r="AW122" s="8">
        <v>4608725</v>
      </c>
    </row>
    <row r="123" spans="1:49">
      <c r="A123" s="15">
        <f t="shared" si="4"/>
        <v>31</v>
      </c>
      <c r="B123" s="16" t="s">
        <v>123</v>
      </c>
      <c r="C123" s="10">
        <v>46082</v>
      </c>
      <c r="D123" s="7" t="s">
        <v>79</v>
      </c>
      <c r="E123" s="7" t="s">
        <v>99</v>
      </c>
      <c r="F123" s="7">
        <v>200000</v>
      </c>
      <c r="G123" s="7" t="s">
        <v>146</v>
      </c>
      <c r="H123" s="7">
        <v>810</v>
      </c>
      <c r="I123" s="7" t="s">
        <v>399</v>
      </c>
      <c r="J123" s="7" t="s">
        <v>456</v>
      </c>
      <c r="K123" s="7" t="s">
        <v>412</v>
      </c>
      <c r="L123" s="7"/>
      <c r="M123" s="7" t="s">
        <v>413</v>
      </c>
      <c r="N123" s="7" t="s">
        <v>67</v>
      </c>
      <c r="O123" s="8">
        <v>4516836</v>
      </c>
      <c r="P123" s="8">
        <v>1435000</v>
      </c>
      <c r="Q123" s="8">
        <v>0</v>
      </c>
      <c r="R123" s="8">
        <v>323866</v>
      </c>
      <c r="S123" s="8">
        <v>6275702</v>
      </c>
      <c r="T123" s="8">
        <v>0</v>
      </c>
      <c r="U123" s="8">
        <v>0</v>
      </c>
      <c r="V123" s="8">
        <v>63000</v>
      </c>
      <c r="W123" s="8">
        <v>0</v>
      </c>
      <c r="X123" s="8">
        <v>0</v>
      </c>
      <c r="Y123" s="8">
        <v>453447</v>
      </c>
      <c r="Z123" s="8">
        <v>209115</v>
      </c>
      <c r="AA123" s="8">
        <v>325709</v>
      </c>
      <c r="AB123" s="8">
        <v>0</v>
      </c>
      <c r="AC123" s="8">
        <v>0</v>
      </c>
      <c r="AD123" s="8">
        <v>0</v>
      </c>
      <c r="AE123" s="8">
        <v>0</v>
      </c>
      <c r="AF123" s="8">
        <v>7326973</v>
      </c>
      <c r="AG123" s="8">
        <v>125514</v>
      </c>
      <c r="AH123" s="8">
        <v>62757</v>
      </c>
      <c r="AI123" s="8">
        <v>62757</v>
      </c>
      <c r="AJ123" s="8">
        <v>0</v>
      </c>
      <c r="AK123" s="8">
        <v>91587</v>
      </c>
      <c r="AL123" s="8">
        <v>0</v>
      </c>
      <c r="AM123" s="8">
        <v>325709</v>
      </c>
      <c r="AN123" s="8">
        <v>0</v>
      </c>
      <c r="AO123" s="8">
        <v>0</v>
      </c>
      <c r="AP123" s="8">
        <v>35500</v>
      </c>
      <c r="AQ123" s="8">
        <v>0</v>
      </c>
      <c r="AR123" s="8">
        <v>0</v>
      </c>
      <c r="AS123" s="8">
        <v>0</v>
      </c>
      <c r="AT123" s="8">
        <v>0</v>
      </c>
      <c r="AU123" s="8">
        <v>703824</v>
      </c>
      <c r="AV123" s="8">
        <v>0</v>
      </c>
      <c r="AW123" s="8">
        <v>6623149</v>
      </c>
    </row>
    <row r="124" spans="1:49">
      <c r="A124" s="15">
        <f t="shared" si="4"/>
        <v>32</v>
      </c>
      <c r="B124" s="16" t="s">
        <v>123</v>
      </c>
      <c r="C124" s="10">
        <v>46082</v>
      </c>
      <c r="D124" s="7" t="s">
        <v>79</v>
      </c>
      <c r="E124" s="7" t="s">
        <v>99</v>
      </c>
      <c r="F124" s="7">
        <v>200000</v>
      </c>
      <c r="G124" s="7" t="s">
        <v>146</v>
      </c>
      <c r="H124" s="7">
        <v>810</v>
      </c>
      <c r="I124" s="7" t="s">
        <v>399</v>
      </c>
      <c r="J124" s="7" t="s">
        <v>456</v>
      </c>
      <c r="K124" s="7" t="s">
        <v>414</v>
      </c>
      <c r="L124" s="7"/>
      <c r="M124" s="7" t="s">
        <v>415</v>
      </c>
      <c r="N124" s="7" t="s">
        <v>67</v>
      </c>
      <c r="O124" s="8">
        <v>4638707</v>
      </c>
      <c r="P124" s="8">
        <v>1310000</v>
      </c>
      <c r="Q124" s="8">
        <v>0</v>
      </c>
      <c r="R124" s="8">
        <v>214023</v>
      </c>
      <c r="S124" s="8">
        <v>6162730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124680</v>
      </c>
      <c r="Z124" s="8">
        <v>325290</v>
      </c>
      <c r="AA124" s="8">
        <v>319845</v>
      </c>
      <c r="AB124" s="8">
        <v>0</v>
      </c>
      <c r="AC124" s="8">
        <v>0</v>
      </c>
      <c r="AD124" s="8">
        <v>0</v>
      </c>
      <c r="AE124" s="8">
        <v>0</v>
      </c>
      <c r="AF124" s="8">
        <v>6932545</v>
      </c>
      <c r="AG124" s="8">
        <v>123255</v>
      </c>
      <c r="AH124" s="8">
        <v>61627</v>
      </c>
      <c r="AI124" s="8">
        <v>61627</v>
      </c>
      <c r="AJ124" s="8">
        <v>0</v>
      </c>
      <c r="AK124" s="8">
        <v>86657</v>
      </c>
      <c r="AL124" s="8">
        <v>0</v>
      </c>
      <c r="AM124" s="8">
        <v>319845</v>
      </c>
      <c r="AN124" s="8">
        <v>0</v>
      </c>
      <c r="AO124" s="8">
        <v>0</v>
      </c>
      <c r="AP124" s="8">
        <v>0</v>
      </c>
      <c r="AQ124" s="8">
        <v>0</v>
      </c>
      <c r="AR124" s="8">
        <v>0</v>
      </c>
      <c r="AS124" s="8">
        <v>0</v>
      </c>
      <c r="AT124" s="8">
        <v>0</v>
      </c>
      <c r="AU124" s="8">
        <v>653011</v>
      </c>
      <c r="AV124" s="8">
        <v>0</v>
      </c>
      <c r="AW124" s="8">
        <v>6279534</v>
      </c>
    </row>
    <row r="125" spans="1:49">
      <c r="A125" s="15">
        <f t="shared" si="4"/>
        <v>33</v>
      </c>
      <c r="B125" s="16" t="s">
        <v>123</v>
      </c>
      <c r="C125" s="10">
        <v>46082</v>
      </c>
      <c r="D125" s="7" t="s">
        <v>79</v>
      </c>
      <c r="E125" s="7" t="s">
        <v>99</v>
      </c>
      <c r="F125" s="7">
        <v>200000</v>
      </c>
      <c r="G125" s="7" t="s">
        <v>146</v>
      </c>
      <c r="H125" s="7">
        <v>810</v>
      </c>
      <c r="I125" s="7" t="s">
        <v>399</v>
      </c>
      <c r="J125" s="7" t="s">
        <v>456</v>
      </c>
      <c r="K125" s="7" t="s">
        <v>416</v>
      </c>
      <c r="L125" s="7"/>
      <c r="M125" s="7" t="s">
        <v>417</v>
      </c>
      <c r="N125" s="7" t="s">
        <v>67</v>
      </c>
      <c r="O125" s="8">
        <v>4668001</v>
      </c>
      <c r="P125" s="8">
        <v>1310000</v>
      </c>
      <c r="Q125" s="8">
        <v>0</v>
      </c>
      <c r="R125" s="8">
        <v>286782</v>
      </c>
      <c r="S125" s="8">
        <v>6264783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325290</v>
      </c>
      <c r="AA125" s="8">
        <v>325142</v>
      </c>
      <c r="AB125" s="8">
        <v>0</v>
      </c>
      <c r="AC125" s="8">
        <v>0</v>
      </c>
      <c r="AD125" s="8">
        <v>0</v>
      </c>
      <c r="AE125" s="8">
        <v>0</v>
      </c>
      <c r="AF125" s="8">
        <v>6915215</v>
      </c>
      <c r="AG125" s="8">
        <v>125296</v>
      </c>
      <c r="AH125" s="8">
        <v>62648</v>
      </c>
      <c r="AI125" s="8">
        <v>62648</v>
      </c>
      <c r="AJ125" s="8">
        <v>0</v>
      </c>
      <c r="AK125" s="8">
        <v>51864</v>
      </c>
      <c r="AL125" s="8">
        <v>0</v>
      </c>
      <c r="AM125" s="8">
        <v>325142</v>
      </c>
      <c r="AN125" s="8">
        <v>0</v>
      </c>
      <c r="AO125" s="8">
        <v>0</v>
      </c>
      <c r="AP125" s="8">
        <v>0</v>
      </c>
      <c r="AQ125" s="8">
        <v>0</v>
      </c>
      <c r="AR125" s="8">
        <v>0</v>
      </c>
      <c r="AS125" s="8">
        <v>0</v>
      </c>
      <c r="AT125" s="8">
        <v>0</v>
      </c>
      <c r="AU125" s="8">
        <v>627598</v>
      </c>
      <c r="AV125" s="8">
        <v>0</v>
      </c>
      <c r="AW125" s="8">
        <v>6287617</v>
      </c>
    </row>
    <row r="126" spans="1:49">
      <c r="A126" s="15">
        <f t="shared" si="4"/>
        <v>34</v>
      </c>
      <c r="B126" s="16" t="s">
        <v>123</v>
      </c>
      <c r="C126" s="10">
        <v>46082</v>
      </c>
      <c r="D126" s="7" t="s">
        <v>79</v>
      </c>
      <c r="E126" s="7" t="s">
        <v>99</v>
      </c>
      <c r="F126" s="7">
        <v>200000</v>
      </c>
      <c r="G126" s="7" t="s">
        <v>146</v>
      </c>
      <c r="H126" s="7">
        <v>810</v>
      </c>
      <c r="I126" s="7" t="s">
        <v>399</v>
      </c>
      <c r="J126" s="7" t="s">
        <v>456</v>
      </c>
      <c r="K126" s="7" t="s">
        <v>418</v>
      </c>
      <c r="L126" s="7"/>
      <c r="M126" s="7" t="s">
        <v>419</v>
      </c>
      <c r="N126" s="7" t="s">
        <v>67</v>
      </c>
      <c r="O126" s="8">
        <v>4602596</v>
      </c>
      <c r="P126" s="8">
        <v>1435000</v>
      </c>
      <c r="Q126" s="8">
        <v>0</v>
      </c>
      <c r="R126" s="8">
        <v>190448</v>
      </c>
      <c r="S126" s="8">
        <v>6228044</v>
      </c>
      <c r="T126" s="8">
        <v>0</v>
      </c>
      <c r="U126" s="8">
        <v>0</v>
      </c>
      <c r="V126" s="8">
        <v>81000</v>
      </c>
      <c r="W126" s="8">
        <v>0</v>
      </c>
      <c r="X126" s="8">
        <v>0</v>
      </c>
      <c r="Y126" s="8">
        <v>0</v>
      </c>
      <c r="Z126" s="8">
        <v>162645</v>
      </c>
      <c r="AA126" s="8">
        <v>323236</v>
      </c>
      <c r="AB126" s="8">
        <v>0</v>
      </c>
      <c r="AC126" s="8">
        <v>0</v>
      </c>
      <c r="AD126" s="8">
        <v>0</v>
      </c>
      <c r="AE126" s="8">
        <v>0</v>
      </c>
      <c r="AF126" s="8">
        <v>6794925</v>
      </c>
      <c r="AG126" s="8">
        <v>124561</v>
      </c>
      <c r="AH126" s="8">
        <v>62280</v>
      </c>
      <c r="AI126" s="8">
        <v>62280</v>
      </c>
      <c r="AJ126" s="8">
        <v>0</v>
      </c>
      <c r="AK126" s="8">
        <v>84937</v>
      </c>
      <c r="AL126" s="8">
        <v>0</v>
      </c>
      <c r="AM126" s="8">
        <v>323236</v>
      </c>
      <c r="AN126" s="8">
        <v>0</v>
      </c>
      <c r="AO126" s="8">
        <v>0</v>
      </c>
      <c r="AP126" s="8">
        <v>0</v>
      </c>
      <c r="AQ126" s="8">
        <v>0</v>
      </c>
      <c r="AR126" s="8">
        <v>0</v>
      </c>
      <c r="AS126" s="8">
        <v>0</v>
      </c>
      <c r="AT126" s="8">
        <v>0</v>
      </c>
      <c r="AU126" s="8">
        <v>657294</v>
      </c>
      <c r="AV126" s="8">
        <v>0</v>
      </c>
      <c r="AW126" s="8">
        <v>6137631</v>
      </c>
    </row>
    <row r="127" spans="1:49">
      <c r="A127" s="15">
        <f t="shared" si="4"/>
        <v>35</v>
      </c>
      <c r="B127" s="16" t="s">
        <v>123</v>
      </c>
      <c r="C127" s="10">
        <v>46082</v>
      </c>
      <c r="D127" s="7" t="s">
        <v>79</v>
      </c>
      <c r="E127" s="7" t="s">
        <v>99</v>
      </c>
      <c r="F127" s="7">
        <v>200000</v>
      </c>
      <c r="G127" s="7" t="s">
        <v>146</v>
      </c>
      <c r="H127" s="7">
        <v>810</v>
      </c>
      <c r="I127" s="7" t="s">
        <v>399</v>
      </c>
      <c r="J127" s="7" t="s">
        <v>456</v>
      </c>
      <c r="K127" s="7" t="s">
        <v>420</v>
      </c>
      <c r="L127" s="7"/>
      <c r="M127" s="7" t="s">
        <v>421</v>
      </c>
      <c r="N127" s="7" t="s">
        <v>47</v>
      </c>
      <c r="O127" s="8">
        <v>5691891</v>
      </c>
      <c r="P127" s="8">
        <v>1470300</v>
      </c>
      <c r="Q127" s="8">
        <v>0</v>
      </c>
      <c r="R127" s="8">
        <v>377399</v>
      </c>
      <c r="S127" s="8">
        <v>7539590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325290</v>
      </c>
      <c r="AA127" s="8">
        <v>391305</v>
      </c>
      <c r="AB127" s="8">
        <v>0</v>
      </c>
      <c r="AC127" s="8">
        <v>0</v>
      </c>
      <c r="AD127" s="8">
        <v>0</v>
      </c>
      <c r="AE127" s="8">
        <v>0</v>
      </c>
      <c r="AF127" s="8">
        <v>8256185</v>
      </c>
      <c r="AG127" s="8">
        <v>150792</v>
      </c>
      <c r="AH127" s="8">
        <v>75396</v>
      </c>
      <c r="AI127" s="8">
        <v>75396</v>
      </c>
      <c r="AJ127" s="8">
        <v>0</v>
      </c>
      <c r="AK127" s="8">
        <v>82562</v>
      </c>
      <c r="AL127" s="8">
        <v>0</v>
      </c>
      <c r="AM127" s="8">
        <v>391305</v>
      </c>
      <c r="AN127" s="8">
        <v>0</v>
      </c>
      <c r="AO127" s="8">
        <v>0</v>
      </c>
      <c r="AP127" s="8">
        <v>35500</v>
      </c>
      <c r="AQ127" s="8">
        <v>0</v>
      </c>
      <c r="AR127" s="8">
        <v>-112000</v>
      </c>
      <c r="AS127" s="8">
        <v>0</v>
      </c>
      <c r="AT127" s="8">
        <v>0</v>
      </c>
      <c r="AU127" s="8">
        <v>698951</v>
      </c>
      <c r="AV127" s="8">
        <v>0</v>
      </c>
      <c r="AW127" s="8">
        <v>7557234</v>
      </c>
    </row>
    <row r="128" spans="1:49">
      <c r="A128" s="15">
        <f t="shared" si="4"/>
        <v>36</v>
      </c>
      <c r="B128" s="16" t="s">
        <v>123</v>
      </c>
      <c r="C128" s="10">
        <v>46082</v>
      </c>
      <c r="D128" s="7" t="s">
        <v>79</v>
      </c>
      <c r="E128" s="7" t="s">
        <v>99</v>
      </c>
      <c r="F128" s="7">
        <v>200000</v>
      </c>
      <c r="G128" s="7" t="s">
        <v>146</v>
      </c>
      <c r="H128" s="7">
        <v>810</v>
      </c>
      <c r="I128" s="7" t="s">
        <v>399</v>
      </c>
      <c r="J128" s="7" t="s">
        <v>456</v>
      </c>
      <c r="K128" s="7" t="s">
        <v>422</v>
      </c>
      <c r="L128" s="7"/>
      <c r="M128" s="7" t="s">
        <v>423</v>
      </c>
      <c r="N128" s="7" t="s">
        <v>47</v>
      </c>
      <c r="O128" s="8">
        <v>5116387</v>
      </c>
      <c r="P128" s="8">
        <v>1460150</v>
      </c>
      <c r="Q128" s="8">
        <v>0</v>
      </c>
      <c r="R128" s="8">
        <v>113475</v>
      </c>
      <c r="S128" s="8">
        <v>6690012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1353471</v>
      </c>
      <c r="Z128" s="8">
        <v>325290</v>
      </c>
      <c r="AA128" s="8">
        <v>347211</v>
      </c>
      <c r="AB128" s="8">
        <v>0</v>
      </c>
      <c r="AC128" s="8">
        <v>0</v>
      </c>
      <c r="AD128" s="8">
        <v>0</v>
      </c>
      <c r="AE128" s="8">
        <v>0</v>
      </c>
      <c r="AF128" s="8">
        <v>8715984</v>
      </c>
      <c r="AG128" s="8">
        <v>133800</v>
      </c>
      <c r="AH128" s="8">
        <v>66900</v>
      </c>
      <c r="AI128" s="8">
        <v>66900</v>
      </c>
      <c r="AJ128" s="8">
        <v>0</v>
      </c>
      <c r="AK128" s="8">
        <v>152530</v>
      </c>
      <c r="AL128" s="8">
        <v>0</v>
      </c>
      <c r="AM128" s="8">
        <v>347211</v>
      </c>
      <c r="AN128" s="8">
        <v>0</v>
      </c>
      <c r="AO128" s="8">
        <v>0</v>
      </c>
      <c r="AP128" s="8">
        <v>35500</v>
      </c>
      <c r="AQ128" s="8">
        <v>0</v>
      </c>
      <c r="AR128" s="8">
        <v>0</v>
      </c>
      <c r="AS128" s="8">
        <v>2052845</v>
      </c>
      <c r="AT128" s="8">
        <v>0</v>
      </c>
      <c r="AU128" s="8">
        <v>2855686</v>
      </c>
      <c r="AV128" s="8">
        <v>0</v>
      </c>
      <c r="AW128" s="8">
        <v>5860298</v>
      </c>
    </row>
    <row r="129" spans="1:49">
      <c r="A129" s="15">
        <f t="shared" si="4"/>
        <v>37</v>
      </c>
      <c r="B129" s="16" t="s">
        <v>123</v>
      </c>
      <c r="C129" s="10">
        <v>46082</v>
      </c>
      <c r="D129" s="7" t="s">
        <v>79</v>
      </c>
      <c r="E129" s="7" t="s">
        <v>99</v>
      </c>
      <c r="F129" s="7">
        <v>200000</v>
      </c>
      <c r="G129" s="7" t="s">
        <v>146</v>
      </c>
      <c r="H129" s="7">
        <v>810</v>
      </c>
      <c r="I129" s="7" t="s">
        <v>399</v>
      </c>
      <c r="J129" s="7" t="s">
        <v>456</v>
      </c>
      <c r="K129" s="7" t="s">
        <v>424</v>
      </c>
      <c r="L129" s="7"/>
      <c r="M129" s="7" t="s">
        <v>425</v>
      </c>
      <c r="N129" s="7" t="s">
        <v>47</v>
      </c>
      <c r="O129" s="8">
        <v>5669048</v>
      </c>
      <c r="P129" s="8">
        <v>1490600</v>
      </c>
      <c r="Q129" s="8">
        <v>0</v>
      </c>
      <c r="R129" s="8">
        <v>383390</v>
      </c>
      <c r="S129" s="8">
        <v>7543038</v>
      </c>
      <c r="T129" s="8">
        <v>0</v>
      </c>
      <c r="U129" s="8">
        <v>0</v>
      </c>
      <c r="V129" s="8">
        <v>81000</v>
      </c>
      <c r="W129" s="8">
        <v>0</v>
      </c>
      <c r="X129" s="8">
        <v>0</v>
      </c>
      <c r="Y129" s="8">
        <v>0</v>
      </c>
      <c r="Z129" s="8">
        <v>116175</v>
      </c>
      <c r="AA129" s="8">
        <v>391484</v>
      </c>
      <c r="AB129" s="8">
        <v>0</v>
      </c>
      <c r="AC129" s="8">
        <v>0</v>
      </c>
      <c r="AD129" s="8">
        <v>0</v>
      </c>
      <c r="AE129" s="8">
        <v>0</v>
      </c>
      <c r="AF129" s="8">
        <v>8131697</v>
      </c>
      <c r="AG129" s="8">
        <v>150861</v>
      </c>
      <c r="AH129" s="8">
        <v>75430</v>
      </c>
      <c r="AI129" s="8">
        <v>75430</v>
      </c>
      <c r="AJ129" s="8">
        <v>0</v>
      </c>
      <c r="AK129" s="8">
        <v>81317</v>
      </c>
      <c r="AL129" s="8">
        <v>0</v>
      </c>
      <c r="AM129" s="8">
        <v>391484</v>
      </c>
      <c r="AN129" s="8">
        <v>0</v>
      </c>
      <c r="AO129" s="8">
        <v>0</v>
      </c>
      <c r="AP129" s="8">
        <v>35500</v>
      </c>
      <c r="AQ129" s="8">
        <v>0</v>
      </c>
      <c r="AR129" s="8">
        <v>0</v>
      </c>
      <c r="AS129" s="8">
        <v>625000</v>
      </c>
      <c r="AT129" s="8">
        <v>0</v>
      </c>
      <c r="AU129" s="8">
        <v>1435022</v>
      </c>
      <c r="AV129" s="8">
        <v>0</v>
      </c>
      <c r="AW129" s="8">
        <v>6696675</v>
      </c>
    </row>
    <row r="130" spans="1:49">
      <c r="A130" s="15">
        <f t="shared" si="4"/>
        <v>38</v>
      </c>
      <c r="B130" s="16" t="s">
        <v>123</v>
      </c>
      <c r="C130" s="10">
        <v>46082</v>
      </c>
      <c r="D130" s="7" t="s">
        <v>79</v>
      </c>
      <c r="E130" s="7" t="s">
        <v>99</v>
      </c>
      <c r="F130" s="7">
        <v>200000</v>
      </c>
      <c r="G130" s="7" t="s">
        <v>146</v>
      </c>
      <c r="H130" s="7">
        <v>812</v>
      </c>
      <c r="I130" s="7" t="s">
        <v>426</v>
      </c>
      <c r="J130" s="7" t="s">
        <v>456</v>
      </c>
      <c r="K130" s="7" t="s">
        <v>427</v>
      </c>
      <c r="L130" s="7"/>
      <c r="M130" s="7" t="s">
        <v>428</v>
      </c>
      <c r="N130" s="7" t="s">
        <v>67</v>
      </c>
      <c r="O130" s="8">
        <v>4363060</v>
      </c>
      <c r="P130" s="8">
        <v>1435000</v>
      </c>
      <c r="Q130" s="8">
        <v>0</v>
      </c>
      <c r="R130" s="8">
        <v>159246</v>
      </c>
      <c r="S130" s="8">
        <v>5957306</v>
      </c>
      <c r="T130" s="8">
        <v>0</v>
      </c>
      <c r="U130" s="8">
        <v>0</v>
      </c>
      <c r="V130" s="8">
        <v>63000</v>
      </c>
      <c r="W130" s="8">
        <v>0</v>
      </c>
      <c r="X130" s="8">
        <v>0</v>
      </c>
      <c r="Y130" s="8">
        <v>0</v>
      </c>
      <c r="Z130" s="8">
        <v>209115</v>
      </c>
      <c r="AA130" s="8">
        <v>309184</v>
      </c>
      <c r="AB130" s="8">
        <v>0</v>
      </c>
      <c r="AC130" s="8">
        <v>0</v>
      </c>
      <c r="AD130" s="8">
        <v>0</v>
      </c>
      <c r="AE130" s="8">
        <v>0</v>
      </c>
      <c r="AF130" s="8">
        <v>6538605</v>
      </c>
      <c r="AG130" s="8">
        <v>119146</v>
      </c>
      <c r="AH130" s="8">
        <v>59573</v>
      </c>
      <c r="AI130" s="8">
        <v>59573</v>
      </c>
      <c r="AJ130" s="8">
        <v>0</v>
      </c>
      <c r="AK130" s="8">
        <v>32693</v>
      </c>
      <c r="AL130" s="8">
        <v>0</v>
      </c>
      <c r="AM130" s="8">
        <v>309184</v>
      </c>
      <c r="AN130" s="8">
        <v>0</v>
      </c>
      <c r="AO130" s="8">
        <v>0</v>
      </c>
      <c r="AP130" s="8">
        <v>0</v>
      </c>
      <c r="AQ130" s="8">
        <v>0</v>
      </c>
      <c r="AR130" s="8">
        <v>0</v>
      </c>
      <c r="AS130" s="8">
        <v>0</v>
      </c>
      <c r="AT130" s="8">
        <v>0</v>
      </c>
      <c r="AU130" s="8">
        <v>580169</v>
      </c>
      <c r="AV130" s="8">
        <v>0</v>
      </c>
      <c r="AW130" s="8">
        <v>5958436</v>
      </c>
    </row>
    <row r="131" spans="1:49">
      <c r="A131" s="15">
        <f t="shared" si="4"/>
        <v>39</v>
      </c>
      <c r="B131" s="16" t="s">
        <v>123</v>
      </c>
      <c r="C131" s="10">
        <v>46082</v>
      </c>
      <c r="D131" s="7" t="s">
        <v>79</v>
      </c>
      <c r="E131" s="7" t="s">
        <v>99</v>
      </c>
      <c r="F131" s="7">
        <v>200000</v>
      </c>
      <c r="G131" s="7" t="s">
        <v>146</v>
      </c>
      <c r="H131" s="7">
        <v>812</v>
      </c>
      <c r="I131" s="7" t="s">
        <v>426</v>
      </c>
      <c r="J131" s="7" t="s">
        <v>456</v>
      </c>
      <c r="K131" s="7" t="s">
        <v>429</v>
      </c>
      <c r="L131" s="7"/>
      <c r="M131" s="7" t="s">
        <v>430</v>
      </c>
      <c r="N131" s="7" t="s">
        <v>67</v>
      </c>
      <c r="O131" s="8">
        <v>4322689</v>
      </c>
      <c r="P131" s="8">
        <v>1435000</v>
      </c>
      <c r="Q131" s="8">
        <v>0</v>
      </c>
      <c r="R131" s="8">
        <v>129164</v>
      </c>
      <c r="S131" s="8">
        <v>5886853</v>
      </c>
      <c r="T131" s="8">
        <v>0</v>
      </c>
      <c r="U131" s="8">
        <v>0</v>
      </c>
      <c r="V131" s="8">
        <v>81000</v>
      </c>
      <c r="W131" s="8">
        <v>0</v>
      </c>
      <c r="X131" s="8">
        <v>0</v>
      </c>
      <c r="Y131" s="8">
        <v>0</v>
      </c>
      <c r="Z131" s="8">
        <v>116175</v>
      </c>
      <c r="AA131" s="8">
        <v>305528</v>
      </c>
      <c r="AB131" s="8">
        <v>0</v>
      </c>
      <c r="AC131" s="8">
        <v>0</v>
      </c>
      <c r="AD131" s="8">
        <v>0</v>
      </c>
      <c r="AE131" s="8">
        <v>0</v>
      </c>
      <c r="AF131" s="8">
        <v>6389556</v>
      </c>
      <c r="AG131" s="8">
        <v>117737</v>
      </c>
      <c r="AH131" s="8">
        <v>58869</v>
      </c>
      <c r="AI131" s="8">
        <v>58869</v>
      </c>
      <c r="AJ131" s="8">
        <v>0</v>
      </c>
      <c r="AK131" s="8">
        <v>15974</v>
      </c>
      <c r="AL131" s="8">
        <v>0</v>
      </c>
      <c r="AM131" s="8">
        <v>305528</v>
      </c>
      <c r="AN131" s="8">
        <v>0</v>
      </c>
      <c r="AO131" s="8">
        <v>0</v>
      </c>
      <c r="AP131" s="8">
        <v>0</v>
      </c>
      <c r="AQ131" s="8">
        <v>0</v>
      </c>
      <c r="AR131" s="8">
        <v>0</v>
      </c>
      <c r="AS131" s="8">
        <v>0</v>
      </c>
      <c r="AT131" s="8">
        <v>0</v>
      </c>
      <c r="AU131" s="8">
        <v>556977</v>
      </c>
      <c r="AV131" s="8">
        <v>0</v>
      </c>
      <c r="AW131" s="8">
        <v>5832579</v>
      </c>
    </row>
    <row r="132" spans="1:49">
      <c r="A132" s="15">
        <f t="shared" si="4"/>
        <v>40</v>
      </c>
      <c r="B132" s="16" t="s">
        <v>123</v>
      </c>
      <c r="C132" s="10">
        <v>46082</v>
      </c>
      <c r="D132" s="7" t="s">
        <v>79</v>
      </c>
      <c r="E132" s="7" t="s">
        <v>99</v>
      </c>
      <c r="F132" s="7">
        <v>200000</v>
      </c>
      <c r="G132" s="7" t="s">
        <v>146</v>
      </c>
      <c r="H132" s="7">
        <v>815</v>
      </c>
      <c r="I132" s="7" t="s">
        <v>431</v>
      </c>
      <c r="J132" s="7" t="s">
        <v>456</v>
      </c>
      <c r="K132" s="7" t="s">
        <v>432</v>
      </c>
      <c r="L132" s="7"/>
      <c r="M132" s="7" t="s">
        <v>433</v>
      </c>
      <c r="N132" s="7" t="s">
        <v>67</v>
      </c>
      <c r="O132" s="8">
        <v>4310220</v>
      </c>
      <c r="P132" s="8">
        <v>1435000</v>
      </c>
      <c r="Q132" s="8">
        <v>0</v>
      </c>
      <c r="R132" s="8">
        <v>141633</v>
      </c>
      <c r="S132" s="8">
        <v>5886853</v>
      </c>
      <c r="T132" s="8">
        <v>0</v>
      </c>
      <c r="U132" s="8">
        <v>0</v>
      </c>
      <c r="V132" s="8">
        <v>63000</v>
      </c>
      <c r="W132" s="8">
        <v>0</v>
      </c>
      <c r="X132" s="8">
        <v>0</v>
      </c>
      <c r="Y132" s="8">
        <v>187154</v>
      </c>
      <c r="Z132" s="8">
        <v>162645</v>
      </c>
      <c r="AA132" s="8">
        <v>305528</v>
      </c>
      <c r="AB132" s="8">
        <v>0</v>
      </c>
      <c r="AC132" s="8">
        <v>0</v>
      </c>
      <c r="AD132" s="8">
        <v>0</v>
      </c>
      <c r="AE132" s="8">
        <v>0</v>
      </c>
      <c r="AF132" s="8">
        <v>6605180</v>
      </c>
      <c r="AG132" s="8">
        <v>117737</v>
      </c>
      <c r="AH132" s="8">
        <v>58869</v>
      </c>
      <c r="AI132" s="8">
        <v>58869</v>
      </c>
      <c r="AJ132" s="8">
        <v>0</v>
      </c>
      <c r="AK132" s="8">
        <v>33026</v>
      </c>
      <c r="AL132" s="8">
        <v>0</v>
      </c>
      <c r="AM132" s="8">
        <v>305528</v>
      </c>
      <c r="AN132" s="8">
        <v>0</v>
      </c>
      <c r="AO132" s="8">
        <v>0</v>
      </c>
      <c r="AP132" s="8">
        <v>0</v>
      </c>
      <c r="AQ132" s="8">
        <v>0</v>
      </c>
      <c r="AR132" s="8">
        <v>0</v>
      </c>
      <c r="AS132" s="8">
        <v>0</v>
      </c>
      <c r="AT132" s="8">
        <v>0</v>
      </c>
      <c r="AU132" s="8">
        <v>574029</v>
      </c>
      <c r="AV132" s="8">
        <v>0</v>
      </c>
      <c r="AW132" s="8">
        <v>6031151</v>
      </c>
    </row>
    <row r="133" spans="1:49">
      <c r="A133" s="15">
        <f t="shared" si="4"/>
        <v>41</v>
      </c>
      <c r="B133" s="16" t="s">
        <v>123</v>
      </c>
      <c r="C133" s="10">
        <v>46082</v>
      </c>
      <c r="D133" s="7" t="s">
        <v>79</v>
      </c>
      <c r="E133" s="7" t="s">
        <v>99</v>
      </c>
      <c r="F133" s="7">
        <v>200000</v>
      </c>
      <c r="G133" s="7" t="s">
        <v>146</v>
      </c>
      <c r="H133" s="7">
        <v>823</v>
      </c>
      <c r="I133" s="7" t="s">
        <v>434</v>
      </c>
      <c r="J133" s="7" t="s">
        <v>456</v>
      </c>
      <c r="K133" s="7" t="s">
        <v>435</v>
      </c>
      <c r="L133" s="7"/>
      <c r="M133" s="7" t="s">
        <v>436</v>
      </c>
      <c r="N133" s="7" t="s">
        <v>47</v>
      </c>
      <c r="O133" s="8">
        <v>5318680</v>
      </c>
      <c r="P133" s="8">
        <v>1460150</v>
      </c>
      <c r="Q133" s="8">
        <v>0</v>
      </c>
      <c r="R133" s="8">
        <v>349175</v>
      </c>
      <c r="S133" s="8">
        <v>7128005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325290</v>
      </c>
      <c r="AA133" s="8">
        <v>369943</v>
      </c>
      <c r="AB133" s="8">
        <v>0</v>
      </c>
      <c r="AC133" s="8">
        <v>0</v>
      </c>
      <c r="AD133" s="8">
        <v>0</v>
      </c>
      <c r="AE133" s="8">
        <v>0</v>
      </c>
      <c r="AF133" s="8">
        <v>7823238</v>
      </c>
      <c r="AG133" s="8">
        <v>142560</v>
      </c>
      <c r="AH133" s="8">
        <v>71280</v>
      </c>
      <c r="AI133" s="8">
        <v>71280</v>
      </c>
      <c r="AJ133" s="8">
        <v>0</v>
      </c>
      <c r="AK133" s="8">
        <v>78232</v>
      </c>
      <c r="AL133" s="8">
        <v>0</v>
      </c>
      <c r="AM133" s="8">
        <v>369943</v>
      </c>
      <c r="AN133" s="8">
        <v>0</v>
      </c>
      <c r="AO133" s="8">
        <v>0</v>
      </c>
      <c r="AP133" s="8">
        <v>35500</v>
      </c>
      <c r="AQ133" s="8">
        <v>0</v>
      </c>
      <c r="AR133" s="8">
        <v>-98000</v>
      </c>
      <c r="AS133" s="8">
        <v>0</v>
      </c>
      <c r="AT133" s="8">
        <v>0</v>
      </c>
      <c r="AU133" s="8">
        <v>670795</v>
      </c>
      <c r="AV133" s="8">
        <v>0</v>
      </c>
      <c r="AW133" s="8">
        <v>7152443</v>
      </c>
    </row>
    <row r="134" spans="1:49">
      <c r="A134" s="15">
        <f t="shared" si="4"/>
        <v>42</v>
      </c>
      <c r="B134" s="16" t="s">
        <v>123</v>
      </c>
      <c r="C134" s="10">
        <v>46082</v>
      </c>
      <c r="D134" s="7" t="s">
        <v>79</v>
      </c>
      <c r="E134" s="7" t="s">
        <v>99</v>
      </c>
      <c r="F134" s="7">
        <v>200000</v>
      </c>
      <c r="G134" s="7" t="s">
        <v>146</v>
      </c>
      <c r="H134" s="7">
        <v>823</v>
      </c>
      <c r="I134" s="7" t="s">
        <v>434</v>
      </c>
      <c r="J134" s="7" t="s">
        <v>456</v>
      </c>
      <c r="K134" s="7" t="s">
        <v>437</v>
      </c>
      <c r="L134" s="7"/>
      <c r="M134" s="7" t="s">
        <v>438</v>
      </c>
      <c r="N134" s="7" t="s">
        <v>47</v>
      </c>
      <c r="O134" s="8">
        <v>5149765</v>
      </c>
      <c r="P134" s="8">
        <v>1470300</v>
      </c>
      <c r="Q134" s="8">
        <v>0</v>
      </c>
      <c r="R134" s="8">
        <v>272365</v>
      </c>
      <c r="S134" s="8">
        <v>6892430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325290</v>
      </c>
      <c r="AA134" s="8">
        <v>357717</v>
      </c>
      <c r="AB134" s="8">
        <v>0</v>
      </c>
      <c r="AC134" s="8">
        <v>0</v>
      </c>
      <c r="AD134" s="8">
        <v>0</v>
      </c>
      <c r="AE134" s="8">
        <v>0</v>
      </c>
      <c r="AF134" s="8">
        <v>7575437</v>
      </c>
      <c r="AG134" s="8">
        <v>137849</v>
      </c>
      <c r="AH134" s="8">
        <v>68924</v>
      </c>
      <c r="AI134" s="8">
        <v>68924</v>
      </c>
      <c r="AJ134" s="8">
        <v>0</v>
      </c>
      <c r="AK134" s="8">
        <v>113632</v>
      </c>
      <c r="AL134" s="8">
        <v>0</v>
      </c>
      <c r="AM134" s="8">
        <v>357717</v>
      </c>
      <c r="AN134" s="8">
        <v>0</v>
      </c>
      <c r="AO134" s="8">
        <v>0</v>
      </c>
      <c r="AP134" s="8">
        <v>35500</v>
      </c>
      <c r="AQ134" s="8">
        <v>0</v>
      </c>
      <c r="AR134" s="8">
        <v>-70000</v>
      </c>
      <c r="AS134" s="8">
        <v>1040676</v>
      </c>
      <c r="AT134" s="8">
        <v>0</v>
      </c>
      <c r="AU134" s="8">
        <v>1753222</v>
      </c>
      <c r="AV134" s="8">
        <v>0</v>
      </c>
      <c r="AW134" s="8">
        <v>5822215</v>
      </c>
    </row>
    <row r="135" spans="1:49">
      <c r="A135" s="15">
        <f t="shared" si="4"/>
        <v>43</v>
      </c>
      <c r="B135" s="16" t="s">
        <v>123</v>
      </c>
      <c r="C135" s="10">
        <v>46082</v>
      </c>
      <c r="D135" s="7" t="s">
        <v>79</v>
      </c>
      <c r="E135" s="7" t="s">
        <v>99</v>
      </c>
      <c r="F135" s="7">
        <v>200000</v>
      </c>
      <c r="G135" s="7" t="s">
        <v>146</v>
      </c>
      <c r="H135" s="7">
        <v>823</v>
      </c>
      <c r="I135" s="7" t="s">
        <v>434</v>
      </c>
      <c r="J135" s="7" t="s">
        <v>456</v>
      </c>
      <c r="K135" s="7" t="s">
        <v>439</v>
      </c>
      <c r="L135" s="7"/>
      <c r="M135" s="7" t="s">
        <v>440</v>
      </c>
      <c r="N135" s="7" t="s">
        <v>47</v>
      </c>
      <c r="O135" s="8">
        <v>6421520</v>
      </c>
      <c r="P135" s="8">
        <v>1465200</v>
      </c>
      <c r="Q135" s="8">
        <v>0</v>
      </c>
      <c r="R135" s="8">
        <v>1068032</v>
      </c>
      <c r="S135" s="8">
        <v>8954752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325290</v>
      </c>
      <c r="AA135" s="8">
        <v>464751</v>
      </c>
      <c r="AB135" s="8">
        <v>0</v>
      </c>
      <c r="AC135" s="8">
        <v>0</v>
      </c>
      <c r="AD135" s="8">
        <v>0</v>
      </c>
      <c r="AE135" s="8">
        <v>0</v>
      </c>
      <c r="AF135" s="8">
        <v>9744793</v>
      </c>
      <c r="AG135" s="8">
        <v>179095</v>
      </c>
      <c r="AH135" s="8">
        <v>89548</v>
      </c>
      <c r="AI135" s="8">
        <v>89548</v>
      </c>
      <c r="AJ135" s="8">
        <v>0</v>
      </c>
      <c r="AK135" s="8">
        <v>146172</v>
      </c>
      <c r="AL135" s="8">
        <v>0</v>
      </c>
      <c r="AM135" s="8">
        <v>464751</v>
      </c>
      <c r="AN135" s="8">
        <v>0</v>
      </c>
      <c r="AO135" s="8">
        <v>0</v>
      </c>
      <c r="AP135" s="8">
        <v>35500</v>
      </c>
      <c r="AQ135" s="8">
        <v>0</v>
      </c>
      <c r="AR135" s="8">
        <v>-70000</v>
      </c>
      <c r="AS135" s="8">
        <v>1675000</v>
      </c>
      <c r="AT135" s="8">
        <v>0</v>
      </c>
      <c r="AU135" s="8">
        <v>2609614</v>
      </c>
      <c r="AV135" s="8">
        <v>0</v>
      </c>
      <c r="AW135" s="8">
        <v>7135179</v>
      </c>
    </row>
    <row r="136" spans="1:49">
      <c r="A136" s="15">
        <f t="shared" si="4"/>
        <v>44</v>
      </c>
      <c r="B136" s="16" t="s">
        <v>123</v>
      </c>
      <c r="C136" s="10">
        <v>46082</v>
      </c>
      <c r="D136" s="7" t="s">
        <v>79</v>
      </c>
      <c r="E136" s="7" t="s">
        <v>99</v>
      </c>
      <c r="F136" s="7">
        <v>200000</v>
      </c>
      <c r="G136" s="7" t="s">
        <v>146</v>
      </c>
      <c r="H136" s="7">
        <v>824</v>
      </c>
      <c r="I136" s="7" t="s">
        <v>232</v>
      </c>
      <c r="J136" s="7" t="s">
        <v>456</v>
      </c>
      <c r="K136" s="7" t="s">
        <v>441</v>
      </c>
      <c r="L136" s="7"/>
      <c r="M136" s="7" t="s">
        <v>442</v>
      </c>
      <c r="N136" s="7" t="s">
        <v>47</v>
      </c>
      <c r="O136" s="8">
        <v>4919830</v>
      </c>
      <c r="P136" s="8">
        <v>1455100</v>
      </c>
      <c r="Q136" s="8">
        <v>0</v>
      </c>
      <c r="R136" s="8">
        <v>227121</v>
      </c>
      <c r="S136" s="8">
        <v>6602051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302055</v>
      </c>
      <c r="AA136" s="8">
        <v>342646</v>
      </c>
      <c r="AB136" s="8">
        <v>0</v>
      </c>
      <c r="AC136" s="8">
        <v>0</v>
      </c>
      <c r="AD136" s="8">
        <v>0</v>
      </c>
      <c r="AE136" s="8">
        <v>0</v>
      </c>
      <c r="AF136" s="8">
        <v>7246752</v>
      </c>
      <c r="AG136" s="8">
        <v>132041</v>
      </c>
      <c r="AH136" s="8">
        <v>66021</v>
      </c>
      <c r="AI136" s="8">
        <v>66021</v>
      </c>
      <c r="AJ136" s="8">
        <v>0</v>
      </c>
      <c r="AK136" s="8">
        <v>90584</v>
      </c>
      <c r="AL136" s="8">
        <v>0</v>
      </c>
      <c r="AM136" s="8">
        <v>342646</v>
      </c>
      <c r="AN136" s="8">
        <v>0</v>
      </c>
      <c r="AO136" s="8">
        <v>0</v>
      </c>
      <c r="AP136" s="8">
        <v>35500</v>
      </c>
      <c r="AQ136" s="8">
        <v>0</v>
      </c>
      <c r="AR136" s="8">
        <v>0</v>
      </c>
      <c r="AS136" s="8">
        <v>0</v>
      </c>
      <c r="AT136" s="8">
        <v>0</v>
      </c>
      <c r="AU136" s="8">
        <v>732813</v>
      </c>
      <c r="AV136" s="8">
        <v>0</v>
      </c>
      <c r="AW136" s="8">
        <v>6513939</v>
      </c>
    </row>
    <row r="137" spans="1:49">
      <c r="A137" s="15">
        <f t="shared" si="4"/>
        <v>45</v>
      </c>
      <c r="B137" s="16" t="s">
        <v>123</v>
      </c>
      <c r="C137" s="10">
        <v>46082</v>
      </c>
      <c r="D137" s="7" t="s">
        <v>79</v>
      </c>
      <c r="E137" s="7" t="s">
        <v>99</v>
      </c>
      <c r="F137" s="7">
        <v>300000</v>
      </c>
      <c r="G137" s="7" t="s">
        <v>101</v>
      </c>
      <c r="H137" s="7">
        <v>821</v>
      </c>
      <c r="I137" s="7" t="s">
        <v>116</v>
      </c>
      <c r="J137" s="7" t="s">
        <v>456</v>
      </c>
      <c r="K137" s="7" t="s">
        <v>443</v>
      </c>
      <c r="L137" s="7"/>
      <c r="M137" s="7" t="s">
        <v>444</v>
      </c>
      <c r="N137" s="7" t="s">
        <v>47</v>
      </c>
      <c r="O137" s="8">
        <v>4250229</v>
      </c>
      <c r="P137" s="8">
        <v>1445000</v>
      </c>
      <c r="Q137" s="8">
        <v>0</v>
      </c>
      <c r="R137" s="8">
        <v>364003</v>
      </c>
      <c r="S137" s="8">
        <v>6059232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394995</v>
      </c>
      <c r="AA137" s="8">
        <v>314474</v>
      </c>
      <c r="AB137" s="8">
        <v>0</v>
      </c>
      <c r="AC137" s="8">
        <v>0</v>
      </c>
      <c r="AD137" s="8">
        <v>0</v>
      </c>
      <c r="AE137" s="8">
        <v>0</v>
      </c>
      <c r="AF137" s="8">
        <v>6768701</v>
      </c>
      <c r="AG137" s="8">
        <v>121185</v>
      </c>
      <c r="AH137" s="8">
        <v>60592</v>
      </c>
      <c r="AI137" s="8">
        <v>60592</v>
      </c>
      <c r="AJ137" s="8">
        <v>0</v>
      </c>
      <c r="AK137" s="8">
        <v>33844</v>
      </c>
      <c r="AL137" s="8">
        <v>0</v>
      </c>
      <c r="AM137" s="8">
        <v>314474</v>
      </c>
      <c r="AN137" s="8">
        <v>0</v>
      </c>
      <c r="AO137" s="8">
        <v>0</v>
      </c>
      <c r="AP137" s="8">
        <v>35500</v>
      </c>
      <c r="AQ137" s="8">
        <v>0</v>
      </c>
      <c r="AR137" s="8">
        <v>0</v>
      </c>
      <c r="AS137" s="8">
        <v>0</v>
      </c>
      <c r="AT137" s="8">
        <v>0</v>
      </c>
      <c r="AU137" s="8">
        <v>626187</v>
      </c>
      <c r="AV137" s="8">
        <v>0</v>
      </c>
      <c r="AW137" s="8">
        <v>6142514</v>
      </c>
    </row>
    <row r="138" spans="1:49">
      <c r="A138" s="15">
        <f t="shared" si="4"/>
        <v>46</v>
      </c>
      <c r="B138" s="16" t="s">
        <v>123</v>
      </c>
      <c r="C138" s="10">
        <v>46082</v>
      </c>
      <c r="D138" s="7" t="s">
        <v>79</v>
      </c>
      <c r="E138" s="7" t="s">
        <v>99</v>
      </c>
      <c r="F138" s="7">
        <v>300000</v>
      </c>
      <c r="G138" s="7" t="s">
        <v>101</v>
      </c>
      <c r="H138" s="7">
        <v>821</v>
      </c>
      <c r="I138" s="7" t="s">
        <v>116</v>
      </c>
      <c r="J138" s="7" t="s">
        <v>456</v>
      </c>
      <c r="K138" s="7" t="s">
        <v>445</v>
      </c>
      <c r="L138" s="7"/>
      <c r="M138" s="7" t="s">
        <v>446</v>
      </c>
      <c r="N138" s="7" t="s">
        <v>47</v>
      </c>
      <c r="O138" s="8">
        <v>5297887</v>
      </c>
      <c r="P138" s="8">
        <v>1435000</v>
      </c>
      <c r="Q138" s="8">
        <v>0</v>
      </c>
      <c r="R138" s="8">
        <v>197920</v>
      </c>
      <c r="S138" s="8">
        <v>6930807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394995</v>
      </c>
      <c r="AA138" s="8">
        <v>359708</v>
      </c>
      <c r="AB138" s="8">
        <v>0</v>
      </c>
      <c r="AC138" s="8">
        <v>0</v>
      </c>
      <c r="AD138" s="8">
        <v>0</v>
      </c>
      <c r="AE138" s="8">
        <v>0</v>
      </c>
      <c r="AF138" s="8">
        <v>7685510</v>
      </c>
      <c r="AG138" s="8">
        <v>138616</v>
      </c>
      <c r="AH138" s="8">
        <v>69308</v>
      </c>
      <c r="AI138" s="8">
        <v>69308</v>
      </c>
      <c r="AJ138" s="8">
        <v>0</v>
      </c>
      <c r="AK138" s="8">
        <v>76855</v>
      </c>
      <c r="AL138" s="8">
        <v>0</v>
      </c>
      <c r="AM138" s="8">
        <v>359708</v>
      </c>
      <c r="AN138" s="8">
        <v>0</v>
      </c>
      <c r="AO138" s="8">
        <v>0</v>
      </c>
      <c r="AP138" s="8">
        <v>35500</v>
      </c>
      <c r="AQ138" s="8">
        <v>0</v>
      </c>
      <c r="AR138" s="8">
        <v>0</v>
      </c>
      <c r="AS138" s="8">
        <v>0</v>
      </c>
      <c r="AT138" s="8">
        <v>0</v>
      </c>
      <c r="AU138" s="8">
        <v>749295</v>
      </c>
      <c r="AV138" s="8">
        <v>0</v>
      </c>
      <c r="AW138" s="8">
        <v>6936215</v>
      </c>
    </row>
    <row r="139" spans="1:49">
      <c r="A139" s="15">
        <f t="shared" si="4"/>
        <v>47</v>
      </c>
      <c r="B139" s="16" t="s">
        <v>123</v>
      </c>
      <c r="C139" s="10">
        <v>46082</v>
      </c>
      <c r="D139" s="7" t="s">
        <v>79</v>
      </c>
      <c r="E139" s="7" t="s">
        <v>99</v>
      </c>
      <c r="F139" s="7">
        <v>300000</v>
      </c>
      <c r="G139" s="7" t="s">
        <v>101</v>
      </c>
      <c r="H139" s="7">
        <v>821</v>
      </c>
      <c r="I139" s="7" t="s">
        <v>116</v>
      </c>
      <c r="J139" s="7" t="s">
        <v>456</v>
      </c>
      <c r="K139" s="7" t="s">
        <v>447</v>
      </c>
      <c r="L139" s="7"/>
      <c r="M139" s="7" t="s">
        <v>448</v>
      </c>
      <c r="N139" s="7" t="s">
        <v>47</v>
      </c>
      <c r="O139" s="8">
        <v>5583078</v>
      </c>
      <c r="P139" s="8">
        <v>1435000</v>
      </c>
      <c r="Q139" s="8">
        <v>0</v>
      </c>
      <c r="R139" s="8">
        <v>223200</v>
      </c>
      <c r="S139" s="8">
        <v>7241278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394995</v>
      </c>
      <c r="AA139" s="8">
        <v>375822</v>
      </c>
      <c r="AB139" s="8">
        <v>0</v>
      </c>
      <c r="AC139" s="8">
        <v>0</v>
      </c>
      <c r="AD139" s="8">
        <v>0</v>
      </c>
      <c r="AE139" s="8">
        <v>0</v>
      </c>
      <c r="AF139" s="8">
        <v>8012095</v>
      </c>
      <c r="AG139" s="8">
        <v>144826</v>
      </c>
      <c r="AH139" s="8">
        <v>72413</v>
      </c>
      <c r="AI139" s="8">
        <v>72413</v>
      </c>
      <c r="AJ139" s="8">
        <v>0</v>
      </c>
      <c r="AK139" s="8">
        <v>80121</v>
      </c>
      <c r="AL139" s="8">
        <v>0</v>
      </c>
      <c r="AM139" s="8">
        <v>375822</v>
      </c>
      <c r="AN139" s="8">
        <v>0</v>
      </c>
      <c r="AO139" s="8">
        <v>0</v>
      </c>
      <c r="AP139" s="8">
        <v>35500</v>
      </c>
      <c r="AQ139" s="8">
        <v>0</v>
      </c>
      <c r="AR139" s="8">
        <v>0</v>
      </c>
      <c r="AS139" s="8">
        <v>0</v>
      </c>
      <c r="AT139" s="8">
        <v>0</v>
      </c>
      <c r="AU139" s="8">
        <v>781095</v>
      </c>
      <c r="AV139" s="8">
        <v>0</v>
      </c>
      <c r="AW139" s="8">
        <v>7231000</v>
      </c>
    </row>
    <row r="140" spans="1:49">
      <c r="A140" s="15">
        <f t="shared" si="4"/>
        <v>48</v>
      </c>
      <c r="B140" s="16" t="s">
        <v>123</v>
      </c>
      <c r="C140" s="10">
        <v>46082</v>
      </c>
      <c r="D140" s="7" t="s">
        <v>79</v>
      </c>
      <c r="E140" s="7" t="s">
        <v>99</v>
      </c>
      <c r="F140" s="7">
        <v>300000</v>
      </c>
      <c r="G140" s="7" t="s">
        <v>101</v>
      </c>
      <c r="H140" s="7">
        <v>822</v>
      </c>
      <c r="I140" s="7" t="s">
        <v>118</v>
      </c>
      <c r="J140" s="7" t="s">
        <v>456</v>
      </c>
      <c r="K140" s="7" t="s">
        <v>449</v>
      </c>
      <c r="L140" s="7"/>
      <c r="M140" s="7" t="s">
        <v>450</v>
      </c>
      <c r="N140" s="7" t="s">
        <v>47</v>
      </c>
      <c r="O140" s="8">
        <v>5933497</v>
      </c>
      <c r="P140" s="8">
        <v>1445000</v>
      </c>
      <c r="Q140" s="8">
        <v>0</v>
      </c>
      <c r="R140" s="8">
        <v>370442</v>
      </c>
      <c r="S140" s="8">
        <v>7748939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3068222</v>
      </c>
      <c r="Z140" s="8">
        <v>394995</v>
      </c>
      <c r="AA140" s="8">
        <v>402171</v>
      </c>
      <c r="AB140" s="8">
        <v>0</v>
      </c>
      <c r="AC140" s="8">
        <v>0</v>
      </c>
      <c r="AD140" s="8">
        <v>0</v>
      </c>
      <c r="AE140" s="8">
        <v>0</v>
      </c>
      <c r="AF140" s="8">
        <v>11614327</v>
      </c>
      <c r="AG140" s="8">
        <v>154979</v>
      </c>
      <c r="AH140" s="8">
        <v>77489</v>
      </c>
      <c r="AI140" s="8">
        <v>77489</v>
      </c>
      <c r="AJ140" s="8">
        <v>0</v>
      </c>
      <c r="AK140" s="8">
        <v>348430</v>
      </c>
      <c r="AL140" s="8">
        <v>0</v>
      </c>
      <c r="AM140" s="8">
        <v>402171</v>
      </c>
      <c r="AN140" s="8">
        <v>0</v>
      </c>
      <c r="AO140" s="8">
        <v>0</v>
      </c>
      <c r="AP140" s="8">
        <v>35500</v>
      </c>
      <c r="AQ140" s="8">
        <v>0</v>
      </c>
      <c r="AR140" s="8">
        <v>0</v>
      </c>
      <c r="AS140" s="8">
        <v>0</v>
      </c>
      <c r="AT140" s="8">
        <v>0</v>
      </c>
      <c r="AU140" s="8">
        <v>1096058</v>
      </c>
      <c r="AV140" s="8">
        <v>0</v>
      </c>
      <c r="AW140" s="8">
        <v>10518269</v>
      </c>
    </row>
    <row r="141" spans="1:49">
      <c r="A141" s="15">
        <f t="shared" si="4"/>
        <v>49</v>
      </c>
      <c r="B141" s="16" t="s">
        <v>123</v>
      </c>
      <c r="C141" s="10">
        <v>46082</v>
      </c>
      <c r="D141" s="7" t="s">
        <v>79</v>
      </c>
      <c r="E141" s="7" t="s">
        <v>99</v>
      </c>
      <c r="F141" s="7">
        <v>400000</v>
      </c>
      <c r="G141" s="7" t="s">
        <v>292</v>
      </c>
      <c r="H141" s="7">
        <v>832</v>
      </c>
      <c r="I141" s="7" t="s">
        <v>451</v>
      </c>
      <c r="J141" s="7" t="s">
        <v>456</v>
      </c>
      <c r="K141" s="7" t="s">
        <v>452</v>
      </c>
      <c r="L141" s="7"/>
      <c r="M141" s="7" t="s">
        <v>453</v>
      </c>
      <c r="N141" s="7" t="s">
        <v>47</v>
      </c>
      <c r="O141" s="8">
        <v>7351506</v>
      </c>
      <c r="P141" s="8">
        <v>1495800</v>
      </c>
      <c r="Q141" s="8">
        <v>0</v>
      </c>
      <c r="R141" s="8">
        <v>696713</v>
      </c>
      <c r="S141" s="8">
        <v>9544019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394995</v>
      </c>
      <c r="AA141" s="8">
        <v>495335</v>
      </c>
      <c r="AB141" s="8">
        <v>0</v>
      </c>
      <c r="AC141" s="8">
        <v>0</v>
      </c>
      <c r="AD141" s="8">
        <v>0</v>
      </c>
      <c r="AE141" s="8">
        <v>0</v>
      </c>
      <c r="AF141" s="8">
        <v>10434349</v>
      </c>
      <c r="AG141" s="8">
        <v>190880</v>
      </c>
      <c r="AH141" s="8">
        <v>95440</v>
      </c>
      <c r="AI141" s="8">
        <v>95440</v>
      </c>
      <c r="AJ141" s="8">
        <v>0</v>
      </c>
      <c r="AK141" s="8">
        <v>156515</v>
      </c>
      <c r="AL141" s="8">
        <v>0</v>
      </c>
      <c r="AM141" s="8">
        <v>495335</v>
      </c>
      <c r="AN141" s="8">
        <v>0</v>
      </c>
      <c r="AO141" s="8">
        <v>0</v>
      </c>
      <c r="AP141" s="8">
        <v>35500</v>
      </c>
      <c r="AQ141" s="8">
        <v>0</v>
      </c>
      <c r="AR141" s="8">
        <v>0</v>
      </c>
      <c r="AS141" s="8">
        <v>0</v>
      </c>
      <c r="AT141" s="8">
        <v>0</v>
      </c>
      <c r="AU141" s="8">
        <v>1069110</v>
      </c>
      <c r="AV141" s="8">
        <v>0</v>
      </c>
      <c r="AW141" s="8">
        <v>9365239</v>
      </c>
    </row>
  </sheetData>
  <printOptions gridLines="1" gridLinesSet="0"/>
  <pageMargins left="0.75" right="0.75" top="1" bottom="1" header="0.5" footer="0.5"/>
  <pageSetup paperSize="9" orientation="portrait" horizontalDpi="0" verticalDpi="0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</dc:creator>
  <cp:lastModifiedBy>ans</cp:lastModifiedBy>
  <dcterms:created xsi:type="dcterms:W3CDTF">2026-03-18T09:12:22Z</dcterms:created>
  <dcterms:modified xsi:type="dcterms:W3CDTF">2026-05-02T01:42:10Z</dcterms:modified>
</cp:coreProperties>
</file>